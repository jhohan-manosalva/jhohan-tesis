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arios\"/>
    </mc:Choice>
  </mc:AlternateContent>
  <xr:revisionPtr revIDLastSave="0" documentId="13_ncr:1_{A525E4FB-C75E-49B4-BD94-D67DD802AD5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cables" sheetId="1" r:id="rId1"/>
    <sheet name="Hoja1" sheetId="2" r:id="rId2"/>
  </sheets>
  <calcPr calcId="191029"/>
</workbook>
</file>

<file path=xl/calcChain.xml><?xml version="1.0" encoding="utf-8"?>
<calcChain xmlns="http://schemas.openxmlformats.org/spreadsheetml/2006/main">
  <c r="S13" i="1" l="1"/>
  <c r="S14" i="1"/>
  <c r="S5" i="1"/>
  <c r="S6" i="1"/>
</calcChain>
</file>

<file path=xl/sharedStrings.xml><?xml version="1.0" encoding="utf-8"?>
<sst xmlns="http://schemas.openxmlformats.org/spreadsheetml/2006/main" count="99" uniqueCount="94">
  <si>
    <r>
      <rPr>
        <b/>
        <sz val="8"/>
        <rFont val="Arial"/>
        <family val="2"/>
      </rPr>
      <t>CÓDIGO</t>
    </r>
  </si>
  <si>
    <r>
      <rPr>
        <b/>
        <sz val="8"/>
        <rFont val="Arial"/>
        <family val="2"/>
      </rPr>
      <t>CORRIENTE</t>
    </r>
  </si>
  <si>
    <r>
      <rPr>
        <b/>
        <sz val="8"/>
        <rFont val="Arial"/>
        <family val="2"/>
      </rPr>
      <t xml:space="preserve">PESO TOTAL
</t>
    </r>
    <r>
      <rPr>
        <b/>
        <sz val="8"/>
        <rFont val="Arial"/>
        <family val="2"/>
      </rPr>
      <t>kg/km</t>
    </r>
  </si>
  <si>
    <r>
      <rPr>
        <b/>
        <sz val="8"/>
        <rFont val="Arial"/>
        <family val="2"/>
      </rPr>
      <t>CALIBRE</t>
    </r>
  </si>
  <si>
    <r>
      <rPr>
        <b/>
        <sz val="8"/>
        <rFont val="Arial"/>
        <family val="2"/>
      </rPr>
      <t>No. HILOS</t>
    </r>
  </si>
  <si>
    <r>
      <rPr>
        <b/>
        <sz val="8"/>
        <rFont val="Arial"/>
        <family val="2"/>
      </rPr>
      <t xml:space="preserve">DIAMETRO
</t>
    </r>
    <r>
      <rPr>
        <b/>
        <sz val="8"/>
        <rFont val="Arial"/>
        <family val="2"/>
      </rPr>
      <t>NOMINAL mm</t>
    </r>
  </si>
  <si>
    <r>
      <rPr>
        <b/>
        <sz val="8"/>
        <rFont val="Arial"/>
        <family val="2"/>
      </rPr>
      <t>AREA SECCION TRANS (mm2)</t>
    </r>
  </si>
  <si>
    <r>
      <rPr>
        <b/>
        <sz val="8"/>
        <rFont val="Arial"/>
        <family val="2"/>
      </rPr>
      <t>RMG</t>
    </r>
  </si>
  <si>
    <r>
      <rPr>
        <b/>
        <sz val="8"/>
        <rFont val="Arial"/>
        <family val="2"/>
      </rPr>
      <t xml:space="preserve">CARGA
</t>
    </r>
    <r>
      <rPr>
        <b/>
        <sz val="8"/>
        <rFont val="Arial"/>
        <family val="2"/>
      </rPr>
      <t>ROTURA (kg)</t>
    </r>
  </si>
  <si>
    <r>
      <rPr>
        <b/>
        <sz val="8"/>
        <rFont val="Arial"/>
        <family val="2"/>
      </rPr>
      <t xml:space="preserve">RESISTENCIA
</t>
    </r>
    <r>
      <rPr>
        <b/>
        <sz val="8"/>
        <rFont val="Arial"/>
        <family val="2"/>
      </rPr>
      <t>75°</t>
    </r>
  </si>
  <si>
    <r>
      <rPr>
        <b/>
        <sz val="8"/>
        <rFont val="Arial"/>
        <family val="2"/>
      </rPr>
      <t>DIAMETRO DE CADA HILO</t>
    </r>
  </si>
  <si>
    <r>
      <rPr>
        <b/>
        <sz val="8"/>
        <rFont val="Arial"/>
        <family val="2"/>
      </rPr>
      <t>Xa</t>
    </r>
  </si>
  <si>
    <r>
      <rPr>
        <b/>
        <sz val="8"/>
        <rFont val="Arial"/>
        <family val="2"/>
      </rPr>
      <t>ALUMINIO</t>
    </r>
  </si>
  <si>
    <r>
      <rPr>
        <b/>
        <sz val="8"/>
        <rFont val="Arial"/>
        <family val="2"/>
      </rPr>
      <t>ACERO</t>
    </r>
  </si>
  <si>
    <r>
      <rPr>
        <b/>
        <sz val="8"/>
        <rFont val="Arial"/>
        <family val="2"/>
      </rPr>
      <t>TOTAL</t>
    </r>
  </si>
  <si>
    <r>
      <rPr>
        <b/>
        <sz val="8"/>
        <rFont val="Arial"/>
        <family val="2"/>
      </rPr>
      <t>mm</t>
    </r>
  </si>
  <si>
    <r>
      <rPr>
        <b/>
        <sz val="8"/>
        <rFont val="Arial"/>
        <family val="2"/>
      </rPr>
      <t>ALUMINIO (mm</t>
    </r>
  </si>
  <si>
    <r>
      <rPr>
        <b/>
        <sz val="8"/>
        <rFont val="Arial"/>
        <family val="2"/>
      </rPr>
      <t>ACERO (mm)</t>
    </r>
  </si>
  <si>
    <r>
      <rPr>
        <sz val="8"/>
        <rFont val="Arial MT"/>
        <family val="2"/>
      </rPr>
      <t>WREN</t>
    </r>
  </si>
  <si>
    <r>
      <rPr>
        <sz val="8"/>
        <rFont val="Arial MT"/>
        <family val="2"/>
      </rPr>
      <t>WARBLER</t>
    </r>
  </si>
  <si>
    <r>
      <rPr>
        <sz val="8"/>
        <rFont val="Arial MT"/>
        <family val="2"/>
      </rPr>
      <t>TURKEY</t>
    </r>
  </si>
  <si>
    <r>
      <rPr>
        <sz val="8"/>
        <rFont val="Arial MT"/>
        <family val="2"/>
      </rPr>
      <t>THRUSH</t>
    </r>
  </si>
  <si>
    <r>
      <rPr>
        <sz val="8"/>
        <rFont val="Arial MT"/>
        <family val="2"/>
      </rPr>
      <t>SWAN</t>
    </r>
  </si>
  <si>
    <r>
      <rPr>
        <sz val="8"/>
        <rFont val="Arial MT"/>
        <family val="2"/>
      </rPr>
      <t>SWALLOW</t>
    </r>
  </si>
  <si>
    <r>
      <rPr>
        <sz val="8"/>
        <rFont val="Arial MT"/>
        <family val="2"/>
      </rPr>
      <t>SPARROW</t>
    </r>
  </si>
  <si>
    <r>
      <rPr>
        <sz val="8"/>
        <rFont val="Arial MT"/>
        <family val="2"/>
      </rPr>
      <t>ROBIN</t>
    </r>
  </si>
  <si>
    <r>
      <rPr>
        <sz val="8"/>
        <rFont val="Arial MT"/>
        <family val="2"/>
      </rPr>
      <t>RAVEN</t>
    </r>
  </si>
  <si>
    <r>
      <rPr>
        <sz val="8"/>
        <rFont val="Arial MT"/>
        <family val="2"/>
      </rPr>
      <t>1/0</t>
    </r>
  </si>
  <si>
    <r>
      <rPr>
        <sz val="8"/>
        <rFont val="Arial MT"/>
        <family val="2"/>
      </rPr>
      <t>QUAIL</t>
    </r>
  </si>
  <si>
    <r>
      <rPr>
        <sz val="8"/>
        <rFont val="Arial MT"/>
        <family val="2"/>
      </rPr>
      <t>2/0</t>
    </r>
  </si>
  <si>
    <r>
      <rPr>
        <sz val="8"/>
        <rFont val="Arial MT"/>
        <family val="2"/>
      </rPr>
      <t>PIGEON</t>
    </r>
  </si>
  <si>
    <r>
      <rPr>
        <sz val="8"/>
        <rFont val="Arial MT"/>
        <family val="2"/>
      </rPr>
      <t>3/0</t>
    </r>
  </si>
  <si>
    <r>
      <rPr>
        <sz val="8"/>
        <rFont val="Arial MT"/>
        <family val="2"/>
      </rPr>
      <t>PENGUIN</t>
    </r>
  </si>
  <si>
    <r>
      <rPr>
        <sz val="8"/>
        <rFont val="Arial MT"/>
        <family val="2"/>
      </rPr>
      <t>4/0</t>
    </r>
  </si>
  <si>
    <r>
      <rPr>
        <sz val="8"/>
        <rFont val="Arial MT"/>
        <family val="2"/>
      </rPr>
      <t>WAXWING</t>
    </r>
  </si>
  <si>
    <r>
      <rPr>
        <sz val="8"/>
        <rFont val="Arial MT"/>
        <family val="2"/>
      </rPr>
      <t>PARTRIDGE</t>
    </r>
  </si>
  <si>
    <r>
      <rPr>
        <sz val="8"/>
        <rFont val="Arial MT"/>
        <family val="2"/>
      </rPr>
      <t>OLW</t>
    </r>
  </si>
  <si>
    <r>
      <rPr>
        <sz val="8"/>
        <rFont val="Arial MT"/>
        <family val="2"/>
      </rPr>
      <t>PIPER</t>
    </r>
  </si>
  <si>
    <r>
      <rPr>
        <sz val="8"/>
        <rFont val="Arial MT"/>
        <family val="2"/>
      </rPr>
      <t>OSTRICH</t>
    </r>
  </si>
  <si>
    <r>
      <rPr>
        <sz val="8"/>
        <rFont val="Arial MT"/>
        <family val="2"/>
      </rPr>
      <t>MERLIN</t>
    </r>
  </si>
  <si>
    <r>
      <rPr>
        <sz val="8"/>
        <rFont val="Arial MT"/>
        <family val="2"/>
      </rPr>
      <t>ORIOLE</t>
    </r>
  </si>
  <si>
    <r>
      <rPr>
        <sz val="8"/>
        <rFont val="Arial MT"/>
        <family val="2"/>
      </rPr>
      <t>LINNET</t>
    </r>
  </si>
  <si>
    <r>
      <rPr>
        <sz val="8"/>
        <rFont val="Arial MT"/>
        <family val="2"/>
      </rPr>
      <t>LARK</t>
    </r>
  </si>
  <si>
    <r>
      <rPr>
        <sz val="8"/>
        <rFont val="Arial MT"/>
        <family val="2"/>
      </rPr>
      <t>IBIS</t>
    </r>
  </si>
  <si>
    <r>
      <rPr>
        <sz val="8"/>
        <rFont val="Arial MT"/>
        <family val="2"/>
      </rPr>
      <t>PELICAN</t>
    </r>
  </si>
  <si>
    <r>
      <rPr>
        <sz val="8"/>
        <rFont val="Arial MT"/>
        <family val="2"/>
      </rPr>
      <t>FLICKER</t>
    </r>
  </si>
  <si>
    <r>
      <rPr>
        <sz val="8"/>
        <rFont val="Arial MT"/>
        <family val="2"/>
      </rPr>
      <t>HEN</t>
    </r>
  </si>
  <si>
    <r>
      <rPr>
        <sz val="8"/>
        <rFont val="Arial MT"/>
        <family val="2"/>
      </rPr>
      <t>HAWK</t>
    </r>
  </si>
  <si>
    <r>
      <rPr>
        <sz val="8"/>
        <rFont val="Arial MT"/>
        <family val="2"/>
      </rPr>
      <t>HERON</t>
    </r>
  </si>
  <si>
    <r>
      <rPr>
        <sz val="8"/>
        <rFont val="Arial MT"/>
        <family val="2"/>
      </rPr>
      <t>OSPREY</t>
    </r>
  </si>
  <si>
    <r>
      <rPr>
        <sz val="8"/>
        <rFont val="Arial MT"/>
        <family val="2"/>
      </rPr>
      <t>PARAKEET</t>
    </r>
  </si>
  <si>
    <r>
      <rPr>
        <sz val="8"/>
        <rFont val="Arial MT"/>
        <family val="2"/>
      </rPr>
      <t>EAGLE</t>
    </r>
  </si>
  <si>
    <r>
      <rPr>
        <sz val="8"/>
        <rFont val="Arial MT"/>
        <family val="2"/>
      </rPr>
      <t>DOVE</t>
    </r>
  </si>
  <si>
    <r>
      <rPr>
        <sz val="8"/>
        <rFont val="Arial MT"/>
        <family val="2"/>
      </rPr>
      <t>PACOCK</t>
    </r>
  </si>
  <si>
    <r>
      <rPr>
        <sz val="8"/>
        <rFont val="Arial MT"/>
        <family val="2"/>
      </rPr>
      <t>DUCK</t>
    </r>
  </si>
  <si>
    <r>
      <rPr>
        <sz val="8"/>
        <rFont val="Arial MT"/>
        <family val="2"/>
      </rPr>
      <t>ROOK</t>
    </r>
  </si>
  <si>
    <r>
      <rPr>
        <sz val="8"/>
        <rFont val="Arial MT"/>
        <family val="2"/>
      </rPr>
      <t>EGRET</t>
    </r>
  </si>
  <si>
    <r>
      <rPr>
        <sz val="8"/>
        <rFont val="Arial MT"/>
        <family val="2"/>
      </rPr>
      <t>GROSBEAK</t>
    </r>
  </si>
  <si>
    <r>
      <rPr>
        <sz val="8"/>
        <rFont val="Arial MT"/>
        <family val="2"/>
      </rPr>
      <t>GOOSE</t>
    </r>
  </si>
  <si>
    <r>
      <rPr>
        <sz val="8"/>
        <rFont val="Arial MT"/>
        <family val="2"/>
      </rPr>
      <t>FLAMINGO</t>
    </r>
  </si>
  <si>
    <r>
      <rPr>
        <sz val="8"/>
        <rFont val="Arial MT"/>
        <family val="2"/>
      </rPr>
      <t>GULL</t>
    </r>
  </si>
  <si>
    <r>
      <rPr>
        <sz val="8"/>
        <rFont val="Arial MT"/>
        <family val="2"/>
      </rPr>
      <t>REDWING</t>
    </r>
  </si>
  <si>
    <r>
      <rPr>
        <sz val="8"/>
        <rFont val="Arial MT"/>
        <family val="2"/>
      </rPr>
      <t>STARLING</t>
    </r>
  </si>
  <si>
    <r>
      <rPr>
        <sz val="8"/>
        <rFont val="Arial MT"/>
        <family val="2"/>
      </rPr>
      <t>CROW</t>
    </r>
  </si>
  <si>
    <r>
      <rPr>
        <sz val="8"/>
        <rFont val="Arial MT"/>
        <family val="2"/>
      </rPr>
      <t>TERM</t>
    </r>
  </si>
  <si>
    <r>
      <rPr>
        <sz val="8"/>
        <rFont val="Arial MT"/>
        <family val="2"/>
      </rPr>
      <t>MALLARD</t>
    </r>
  </si>
  <si>
    <r>
      <rPr>
        <sz val="8"/>
        <rFont val="Arial MT"/>
        <family val="2"/>
      </rPr>
      <t>DRAKE</t>
    </r>
  </si>
  <si>
    <r>
      <rPr>
        <sz val="8"/>
        <rFont val="Arial MT"/>
        <family val="2"/>
      </rPr>
      <t>CONDOR</t>
    </r>
  </si>
  <si>
    <r>
      <rPr>
        <sz val="8"/>
        <rFont val="Arial MT"/>
        <family val="2"/>
      </rPr>
      <t>CRANE</t>
    </r>
  </si>
  <si>
    <r>
      <rPr>
        <sz val="8"/>
        <rFont val="Arial MT"/>
        <family val="2"/>
      </rPr>
      <t>CANARY</t>
    </r>
  </si>
  <si>
    <r>
      <rPr>
        <sz val="8"/>
        <rFont val="Arial MT"/>
        <family val="2"/>
      </rPr>
      <t>RAIL</t>
    </r>
  </si>
  <si>
    <r>
      <rPr>
        <sz val="8"/>
        <rFont val="Arial MT"/>
        <family val="2"/>
      </rPr>
      <t>CARDINAL</t>
    </r>
  </si>
  <si>
    <r>
      <rPr>
        <sz val="8"/>
        <rFont val="Arial MT"/>
        <family val="2"/>
      </rPr>
      <t>ORTOLAN</t>
    </r>
  </si>
  <si>
    <r>
      <rPr>
        <sz val="8"/>
        <rFont val="Arial MT"/>
        <family val="2"/>
      </rPr>
      <t>CURLEW</t>
    </r>
  </si>
  <si>
    <r>
      <rPr>
        <sz val="8"/>
        <rFont val="Arial MT"/>
        <family val="2"/>
      </rPr>
      <t>BLUEJAY</t>
    </r>
  </si>
  <si>
    <r>
      <rPr>
        <sz val="8"/>
        <rFont val="Arial MT"/>
        <family val="2"/>
      </rPr>
      <t>PINCH</t>
    </r>
  </si>
  <si>
    <r>
      <rPr>
        <sz val="8"/>
        <rFont val="Arial MT"/>
        <family val="2"/>
      </rPr>
      <t>BUNTING</t>
    </r>
  </si>
  <si>
    <r>
      <rPr>
        <sz val="8"/>
        <rFont val="Arial MT"/>
        <family val="2"/>
      </rPr>
      <t>GRACKLE</t>
    </r>
  </si>
  <si>
    <r>
      <rPr>
        <sz val="8"/>
        <rFont val="Arial MT"/>
        <family val="2"/>
      </rPr>
      <t>BITTERN</t>
    </r>
  </si>
  <si>
    <r>
      <rPr>
        <sz val="8"/>
        <rFont val="Arial MT"/>
        <family val="2"/>
      </rPr>
      <t>PHEASANT</t>
    </r>
  </si>
  <si>
    <r>
      <rPr>
        <sz val="8"/>
        <rFont val="Arial MT"/>
        <family val="2"/>
      </rPr>
      <t>DIPPER</t>
    </r>
  </si>
  <si>
    <r>
      <rPr>
        <sz val="8"/>
        <rFont val="Arial MT"/>
        <family val="2"/>
      </rPr>
      <t>MARTIN</t>
    </r>
  </si>
  <si>
    <r>
      <rPr>
        <sz val="8"/>
        <rFont val="Arial MT"/>
        <family val="2"/>
      </rPr>
      <t>BOBOLINK</t>
    </r>
  </si>
  <si>
    <r>
      <rPr>
        <sz val="8"/>
        <rFont val="Arial MT"/>
        <family val="2"/>
      </rPr>
      <t>PLOVER</t>
    </r>
  </si>
  <si>
    <r>
      <rPr>
        <sz val="8"/>
        <rFont val="Arial MT"/>
        <family val="2"/>
      </rPr>
      <t>NUTHATCH</t>
    </r>
  </si>
  <si>
    <r>
      <rPr>
        <sz val="8"/>
        <rFont val="Arial MT"/>
        <family val="2"/>
      </rPr>
      <t>PARROT</t>
    </r>
  </si>
  <si>
    <r>
      <rPr>
        <sz val="8"/>
        <rFont val="Arial MT"/>
        <family val="2"/>
      </rPr>
      <t>LAPWING</t>
    </r>
  </si>
  <si>
    <r>
      <rPr>
        <sz val="8"/>
        <rFont val="Arial MT"/>
        <family val="2"/>
      </rPr>
      <t>FALCOM</t>
    </r>
  </si>
  <si>
    <r>
      <rPr>
        <sz val="8"/>
        <rFont val="Arial MT"/>
        <family val="2"/>
      </rPr>
      <t>CHUKAR</t>
    </r>
  </si>
  <si>
    <t>carga de ruptura</t>
  </si>
  <si>
    <t>calibre</t>
  </si>
  <si>
    <t>codigo</t>
  </si>
  <si>
    <t>WREN</t>
  </si>
  <si>
    <t>codigo conductor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</si>
</sst>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0.000"/>
    <numFmt numFmtId="166" formatCode="0.00000"/>
    <numFmt numFmtId="167" formatCode="0.0000"/>
  </numFmts>
  <fonts count="6" x14ac:knownFonts="1">
    <font>
      <sz val="10"/>
      <color rgb="FF000000"/>
      <name val="Times New Roman"/>
      <charset val="204"/>
    </font>
    <font>
      <b/>
      <sz val="8"/>
      <name val="Arial"/>
    </font>
    <font>
      <sz val="8"/>
      <name val="Arial MT"/>
    </font>
    <font>
      <sz val="8"/>
      <color rgb="FF000000"/>
      <name val="Arial MT"/>
      <family val="2"/>
    </font>
    <font>
      <b/>
      <sz val="8"/>
      <name val="Arial"/>
      <family val="2"/>
    </font>
    <font>
      <sz val="8"/>
      <name val="Arial MT"/>
      <family val="2"/>
    </font>
  </fonts>
  <fills count="3">
    <fill>
      <patternFill patternType="none"/>
    </fill>
    <fill>
      <patternFill patternType="gray125"/>
    </fill>
    <fill>
      <patternFill patternType="solid">
        <fgColor rgb="FFC4D8F0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 applyAlignment="1">
      <alignment horizontal="left" vertical="top"/>
    </xf>
    <xf numFmtId="0" fontId="1" fillId="2" borderId="2" xfId="0" applyFont="1" applyFill="1" applyBorder="1" applyAlignment="1">
      <alignment vertical="top" wrapText="1"/>
    </xf>
    <xf numFmtId="0" fontId="0" fillId="2" borderId="2" xfId="0" applyFill="1" applyBorder="1" applyAlignment="1">
      <alignment vertical="top" wrapText="1"/>
    </xf>
    <xf numFmtId="0" fontId="1" fillId="2" borderId="4" xfId="0" applyFont="1" applyFill="1" applyBorder="1" applyAlignment="1">
      <alignment vertical="top" wrapText="1"/>
    </xf>
    <xf numFmtId="0" fontId="1" fillId="2" borderId="5" xfId="0" applyFont="1" applyFill="1" applyBorder="1" applyAlignment="1">
      <alignment vertical="top" wrapText="1"/>
    </xf>
    <xf numFmtId="0" fontId="1" fillId="2" borderId="1" xfId="0" applyFont="1" applyFill="1" applyBorder="1" applyAlignment="1">
      <alignment vertical="top" wrapText="1"/>
    </xf>
    <xf numFmtId="0" fontId="0" fillId="0" borderId="0" xfId="0" applyAlignment="1">
      <alignment vertical="top"/>
    </xf>
    <xf numFmtId="0" fontId="1" fillId="2" borderId="3" xfId="0" applyFont="1" applyFill="1" applyBorder="1" applyAlignment="1">
      <alignment vertical="top" wrapText="1"/>
    </xf>
    <xf numFmtId="0" fontId="0" fillId="2" borderId="3" xfId="0" applyFill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1" fontId="3" fillId="0" borderId="1" xfId="0" applyNumberFormat="1" applyFont="1" applyBorder="1" applyAlignment="1">
      <alignment vertical="top" shrinkToFit="1"/>
    </xf>
    <xf numFmtId="164" fontId="3" fillId="0" borderId="1" xfId="0" applyNumberFormat="1" applyFont="1" applyBorder="1" applyAlignment="1">
      <alignment vertical="top" shrinkToFit="1"/>
    </xf>
    <xf numFmtId="165" fontId="3" fillId="0" borderId="1" xfId="0" applyNumberFormat="1" applyFont="1" applyBorder="1" applyAlignment="1">
      <alignment vertical="top" shrinkToFit="1"/>
    </xf>
    <xf numFmtId="166" fontId="3" fillId="0" borderId="1" xfId="0" applyNumberFormat="1" applyFont="1" applyBorder="1" applyAlignment="1">
      <alignment vertical="top" shrinkToFit="1"/>
    </xf>
    <xf numFmtId="167" fontId="3" fillId="0" borderId="1" xfId="0" applyNumberFormat="1" applyFont="1" applyBorder="1" applyAlignment="1">
      <alignment vertical="top" shrinkToFit="1"/>
    </xf>
    <xf numFmtId="2" fontId="3" fillId="0" borderId="1" xfId="0" applyNumberFormat="1" applyFont="1" applyBorder="1" applyAlignment="1">
      <alignment vertical="top" shrinkToFit="1"/>
    </xf>
    <xf numFmtId="0" fontId="2" fillId="0" borderId="1" xfId="0" applyFont="1" applyBorder="1" applyAlignment="1">
      <alignment horizontal="right" vertical="top" wrapText="1"/>
    </xf>
    <xf numFmtId="0" fontId="0" fillId="0" borderId="6" xfId="0" applyBorder="1" applyAlignment="1">
      <alignment horizontal="center" vertical="top"/>
    </xf>
    <xf numFmtId="0" fontId="0" fillId="0" borderId="6" xfId="0" applyBorder="1" applyAlignment="1">
      <alignment vertical="top"/>
    </xf>
    <xf numFmtId="0" fontId="0" fillId="0" borderId="6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69"/>
  <sheetViews>
    <sheetView tabSelected="1" zoomScale="70" zoomScaleNormal="70" workbookViewId="0">
      <selection activeCell="S13" sqref="S13"/>
    </sheetView>
  </sheetViews>
  <sheetFormatPr baseColWidth="10" defaultColWidth="8.796875" defaultRowHeight="13" x14ac:dyDescent="0.3"/>
  <cols>
    <col min="1" max="2" width="11.796875" style="6" customWidth="1"/>
    <col min="3" max="3" width="12.69921875" style="6" customWidth="1"/>
    <col min="4" max="5" width="11.796875" style="6" customWidth="1"/>
    <col min="6" max="6" width="12" style="6" customWidth="1"/>
    <col min="7" max="7" width="14" style="6" customWidth="1"/>
    <col min="8" max="8" width="11.796875" style="6" customWidth="1"/>
    <col min="9" max="9" width="16.69921875" style="6" customWidth="1"/>
    <col min="10" max="10" width="12" style="6" customWidth="1"/>
    <col min="11" max="11" width="11.796875" style="6" customWidth="1"/>
    <col min="12" max="12" width="13.09765625" style="6" customWidth="1"/>
    <col min="13" max="13" width="13.296875" style="6" customWidth="1"/>
    <col min="14" max="15" width="12" style="6" customWidth="1"/>
    <col min="16" max="18" width="8.796875" style="6"/>
    <col min="19" max="19" width="11.8984375" style="6" bestFit="1" customWidth="1"/>
    <col min="20" max="16384" width="8.796875" style="6"/>
  </cols>
  <sheetData>
    <row r="1" spans="1:19" ht="11.25" customHeight="1" x14ac:dyDescent="0.3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4"/>
      <c r="G1" s="2" t="s">
        <v>5</v>
      </c>
      <c r="H1" s="3" t="s">
        <v>6</v>
      </c>
      <c r="I1" s="4"/>
      <c r="J1" s="5" t="s">
        <v>7</v>
      </c>
      <c r="K1" s="2" t="s">
        <v>8</v>
      </c>
      <c r="L1" s="2" t="s">
        <v>9</v>
      </c>
      <c r="M1" s="3" t="s">
        <v>10</v>
      </c>
      <c r="N1" s="4"/>
      <c r="O1" s="5" t="s">
        <v>11</v>
      </c>
    </row>
    <row r="2" spans="1:19" ht="11.25" customHeight="1" x14ac:dyDescent="0.3">
      <c r="A2" s="7"/>
      <c r="B2" s="7"/>
      <c r="C2" s="8"/>
      <c r="D2" s="7"/>
      <c r="E2" s="5" t="s">
        <v>12</v>
      </c>
      <c r="F2" s="5" t="s">
        <v>13</v>
      </c>
      <c r="G2" s="8"/>
      <c r="H2" s="5" t="s">
        <v>12</v>
      </c>
      <c r="I2" s="5" t="s">
        <v>14</v>
      </c>
      <c r="J2" s="5" t="s">
        <v>15</v>
      </c>
      <c r="K2" s="8"/>
      <c r="L2" s="8"/>
      <c r="M2" s="5" t="s">
        <v>16</v>
      </c>
      <c r="N2" s="3" t="s">
        <v>17</v>
      </c>
      <c r="O2" s="4"/>
    </row>
    <row r="3" spans="1:19" ht="11.25" customHeight="1" x14ac:dyDescent="0.3">
      <c r="A3" s="9" t="s">
        <v>18</v>
      </c>
      <c r="B3" s="10">
        <v>70</v>
      </c>
      <c r="C3" s="11">
        <v>33.799999999999997</v>
      </c>
      <c r="D3" s="10">
        <v>8</v>
      </c>
      <c r="E3" s="10">
        <v>6</v>
      </c>
      <c r="F3" s="10">
        <v>1</v>
      </c>
      <c r="G3" s="12">
        <v>4.0129999999999999</v>
      </c>
      <c r="H3" s="12">
        <v>8.3870000000000005</v>
      </c>
      <c r="I3" s="12">
        <v>9.8059999999999992</v>
      </c>
      <c r="J3" s="13">
        <v>0.95706999999999998</v>
      </c>
      <c r="K3" s="11">
        <v>340.2</v>
      </c>
      <c r="L3" s="12">
        <v>4.117</v>
      </c>
      <c r="M3" s="14">
        <v>1.3334999999999999</v>
      </c>
      <c r="N3" s="14">
        <v>1.3334999999999999</v>
      </c>
      <c r="O3" s="12">
        <v>0.41099999999999998</v>
      </c>
      <c r="Q3" s="17" t="s">
        <v>93</v>
      </c>
      <c r="R3" s="17"/>
      <c r="S3" s="17"/>
    </row>
    <row r="4" spans="1:19" ht="11.25" customHeight="1" x14ac:dyDescent="0.3">
      <c r="A4" s="9" t="s">
        <v>19</v>
      </c>
      <c r="B4" s="10">
        <v>85</v>
      </c>
      <c r="C4" s="11">
        <v>42.6</v>
      </c>
      <c r="D4" s="10">
        <v>7</v>
      </c>
      <c r="E4" s="10">
        <v>6</v>
      </c>
      <c r="F4" s="10">
        <v>1</v>
      </c>
      <c r="G4" s="12">
        <v>4.4960000000000004</v>
      </c>
      <c r="H4" s="12">
        <v>10.581</v>
      </c>
      <c r="I4" s="12">
        <v>12.323</v>
      </c>
      <c r="J4" s="14">
        <v>1.0729</v>
      </c>
      <c r="K4" s="11">
        <v>424.1</v>
      </c>
      <c r="L4" s="15">
        <v>3.26</v>
      </c>
      <c r="M4" s="14">
        <v>1.4961</v>
      </c>
      <c r="N4" s="14">
        <v>1.4961</v>
      </c>
      <c r="O4" s="12">
        <v>0.40400000000000003</v>
      </c>
      <c r="Q4" s="17"/>
      <c r="R4" s="17"/>
      <c r="S4" s="17"/>
    </row>
    <row r="5" spans="1:19" ht="11.25" customHeight="1" x14ac:dyDescent="0.3">
      <c r="A5" s="9" t="s">
        <v>20</v>
      </c>
      <c r="B5" s="10">
        <v>104</v>
      </c>
      <c r="C5" s="11">
        <v>53.7</v>
      </c>
      <c r="D5" s="10">
        <v>6</v>
      </c>
      <c r="E5" s="10">
        <v>6</v>
      </c>
      <c r="F5" s="10">
        <v>1</v>
      </c>
      <c r="G5" s="12">
        <v>5.0289999999999999</v>
      </c>
      <c r="H5" s="15">
        <v>13.29</v>
      </c>
      <c r="I5" s="12">
        <v>15.484</v>
      </c>
      <c r="J5" s="13">
        <v>1.2009099999999999</v>
      </c>
      <c r="K5" s="11">
        <v>528.4</v>
      </c>
      <c r="L5" s="12">
        <v>2.6840000000000002</v>
      </c>
      <c r="M5" s="14">
        <v>1.6789000000000001</v>
      </c>
      <c r="N5" s="14">
        <v>1.6789000000000001</v>
      </c>
      <c r="O5" s="12">
        <v>0.39500000000000002</v>
      </c>
      <c r="Q5" s="19" t="s">
        <v>89</v>
      </c>
      <c r="R5" s="19"/>
      <c r="S5" s="18">
        <f>VLOOKUP(S7,A3:O69,11,FALSE)</f>
        <v>340.2</v>
      </c>
    </row>
    <row r="6" spans="1:19" ht="11.25" customHeight="1" x14ac:dyDescent="0.3">
      <c r="A6" s="9" t="s">
        <v>21</v>
      </c>
      <c r="B6" s="10">
        <v>122</v>
      </c>
      <c r="C6" s="11">
        <v>67.7</v>
      </c>
      <c r="D6" s="10">
        <v>5</v>
      </c>
      <c r="E6" s="10">
        <v>6</v>
      </c>
      <c r="F6" s="10">
        <v>1</v>
      </c>
      <c r="G6" s="12">
        <v>5.6639999999999997</v>
      </c>
      <c r="H6" s="12">
        <v>16.774000000000001</v>
      </c>
      <c r="I6" s="12">
        <v>19.547999999999998</v>
      </c>
      <c r="J6" s="13">
        <v>1.26797</v>
      </c>
      <c r="K6" s="11">
        <v>662.2</v>
      </c>
      <c r="L6" s="12">
        <v>2.1509999999999998</v>
      </c>
      <c r="M6" s="14">
        <v>1.8872</v>
      </c>
      <c r="N6" s="14">
        <v>1.8872</v>
      </c>
      <c r="O6" s="12">
        <v>0.38500000000000001</v>
      </c>
      <c r="Q6" s="19" t="s">
        <v>90</v>
      </c>
      <c r="R6" s="19"/>
      <c r="S6" s="18">
        <f>VLOOKUP(S7,A3:O69,4,FALSE)</f>
        <v>8</v>
      </c>
    </row>
    <row r="7" spans="1:19" ht="11.25" customHeight="1" x14ac:dyDescent="0.3">
      <c r="A7" s="9" t="s">
        <v>22</v>
      </c>
      <c r="B7" s="10">
        <v>139</v>
      </c>
      <c r="C7" s="11">
        <v>85.4</v>
      </c>
      <c r="D7" s="10">
        <v>4</v>
      </c>
      <c r="E7" s="10">
        <v>6</v>
      </c>
      <c r="F7" s="10">
        <v>1</v>
      </c>
      <c r="G7" s="15">
        <v>6.35</v>
      </c>
      <c r="H7" s="12">
        <v>21.161000000000001</v>
      </c>
      <c r="I7" s="12">
        <v>24.672000000000001</v>
      </c>
      <c r="J7" s="13">
        <v>1.3319799999999999</v>
      </c>
      <c r="K7" s="11">
        <v>832.3</v>
      </c>
      <c r="L7" s="12">
        <v>1.117</v>
      </c>
      <c r="M7" s="14">
        <v>2.1183999999999998</v>
      </c>
      <c r="N7" s="14">
        <v>2.1183999999999998</v>
      </c>
      <c r="O7" s="12">
        <v>0.375</v>
      </c>
      <c r="Q7" s="19" t="s">
        <v>91</v>
      </c>
      <c r="R7" s="19"/>
      <c r="S7" s="18" t="s">
        <v>92</v>
      </c>
    </row>
    <row r="8" spans="1:19" ht="11.25" customHeight="1" x14ac:dyDescent="0.3">
      <c r="A8" s="9" t="s">
        <v>23</v>
      </c>
      <c r="B8" s="10">
        <v>162</v>
      </c>
      <c r="C8" s="11">
        <v>107.6</v>
      </c>
      <c r="D8" s="10">
        <v>3</v>
      </c>
      <c r="E8" s="10">
        <v>6</v>
      </c>
      <c r="F8" s="10">
        <v>1</v>
      </c>
      <c r="G8" s="12">
        <v>7.7130000000000001</v>
      </c>
      <c r="H8" s="12">
        <v>26.645</v>
      </c>
      <c r="I8" s="12">
        <v>31.097000000000001</v>
      </c>
      <c r="J8" s="13">
        <v>1.31064</v>
      </c>
      <c r="K8" s="11">
        <v>1022.8</v>
      </c>
      <c r="L8" s="12">
        <v>1.411</v>
      </c>
      <c r="M8" s="15">
        <v>2.38</v>
      </c>
      <c r="N8" s="15">
        <v>2.38</v>
      </c>
      <c r="O8" s="12">
        <v>0.36699999999999999</v>
      </c>
    </row>
    <row r="9" spans="1:19" ht="11.25" customHeight="1" x14ac:dyDescent="0.3">
      <c r="A9" s="9" t="s">
        <v>24</v>
      </c>
      <c r="B9" s="10">
        <v>183</v>
      </c>
      <c r="C9" s="11">
        <v>135.9</v>
      </c>
      <c r="D9" s="10">
        <v>2</v>
      </c>
      <c r="E9" s="10">
        <v>6</v>
      </c>
      <c r="F9" s="10">
        <v>1</v>
      </c>
      <c r="G9" s="12">
        <v>8.0259999999999998</v>
      </c>
      <c r="H9" s="12">
        <v>33.613</v>
      </c>
      <c r="I9" s="12">
        <v>39.225999999999999</v>
      </c>
      <c r="J9" s="13">
        <v>1.27406</v>
      </c>
      <c r="K9" s="11">
        <v>1265.5</v>
      </c>
      <c r="L9" s="12">
        <v>1.1080000000000001</v>
      </c>
      <c r="M9" s="14">
        <v>2.6720999999999999</v>
      </c>
      <c r="N9" s="14">
        <v>2.6720999999999999</v>
      </c>
      <c r="O9" s="15">
        <v>0.35</v>
      </c>
    </row>
    <row r="10" spans="1:19" ht="11.25" customHeight="1" x14ac:dyDescent="0.3">
      <c r="A10" s="9" t="s">
        <v>25</v>
      </c>
      <c r="B10" s="10">
        <v>210</v>
      </c>
      <c r="C10" s="11">
        <v>171.4</v>
      </c>
      <c r="D10" s="10">
        <v>1</v>
      </c>
      <c r="E10" s="10">
        <v>6</v>
      </c>
      <c r="F10" s="10">
        <v>1</v>
      </c>
      <c r="G10" s="12">
        <v>9.0169999999999995</v>
      </c>
      <c r="H10" s="12">
        <v>42.387</v>
      </c>
      <c r="I10" s="12">
        <v>49.484000000000002</v>
      </c>
      <c r="J10" s="13">
        <v>1.27406</v>
      </c>
      <c r="K10" s="10">
        <v>1583</v>
      </c>
      <c r="L10" s="15">
        <v>0.89</v>
      </c>
      <c r="M10" s="14">
        <v>3.0023</v>
      </c>
      <c r="N10" s="14">
        <v>3.0023</v>
      </c>
      <c r="O10" s="15">
        <v>0.35</v>
      </c>
      <c r="Q10" s="17" t="s">
        <v>89</v>
      </c>
      <c r="R10" s="17"/>
      <c r="S10" s="17"/>
    </row>
    <row r="11" spans="1:19" ht="11.25" customHeight="1" x14ac:dyDescent="0.3">
      <c r="A11" s="9" t="s">
        <v>26</v>
      </c>
      <c r="B11" s="10">
        <v>240</v>
      </c>
      <c r="C11" s="11">
        <v>216.1</v>
      </c>
      <c r="D11" s="16" t="s">
        <v>27</v>
      </c>
      <c r="E11" s="10">
        <v>6</v>
      </c>
      <c r="F11" s="10">
        <v>1</v>
      </c>
      <c r="G11" s="12">
        <v>10.109</v>
      </c>
      <c r="H11" s="12">
        <v>53.484000000000002</v>
      </c>
      <c r="I11" s="12">
        <v>62.387</v>
      </c>
      <c r="J11" s="13">
        <v>1.35941</v>
      </c>
      <c r="K11" s="11">
        <v>1941.4</v>
      </c>
      <c r="L11" s="12">
        <v>0.71599999999999997</v>
      </c>
      <c r="M11" s="14">
        <v>3.3706</v>
      </c>
      <c r="N11" s="14">
        <v>3.3706</v>
      </c>
      <c r="O11" s="12">
        <v>0.34200000000000003</v>
      </c>
      <c r="Q11" s="17"/>
      <c r="R11" s="17"/>
      <c r="S11" s="17"/>
    </row>
    <row r="12" spans="1:19" ht="11.25" customHeight="1" x14ac:dyDescent="0.3">
      <c r="A12" s="9" t="s">
        <v>28</v>
      </c>
      <c r="B12" s="10">
        <v>275</v>
      </c>
      <c r="C12" s="11">
        <v>272.5</v>
      </c>
      <c r="D12" s="16" t="s">
        <v>29</v>
      </c>
      <c r="E12" s="10">
        <v>6</v>
      </c>
      <c r="F12" s="10">
        <v>1</v>
      </c>
      <c r="G12" s="12">
        <v>11.353999999999999</v>
      </c>
      <c r="H12" s="12">
        <v>67.418999999999997</v>
      </c>
      <c r="I12" s="12">
        <v>78.644999999999996</v>
      </c>
      <c r="J12" s="13">
        <v>1.5544800000000001</v>
      </c>
      <c r="K12" s="11">
        <v>2424.4</v>
      </c>
      <c r="L12" s="15">
        <v>0.57999999999999996</v>
      </c>
      <c r="M12" s="14">
        <v>3.7846000000000002</v>
      </c>
      <c r="N12" s="14">
        <v>3.7846000000000002</v>
      </c>
      <c r="O12" s="12">
        <v>0.33300000000000002</v>
      </c>
      <c r="Q12" s="19" t="s">
        <v>89</v>
      </c>
      <c r="R12" s="19"/>
      <c r="S12" s="18">
        <v>662.2</v>
      </c>
    </row>
    <row r="13" spans="1:19" ht="11.25" customHeight="1" x14ac:dyDescent="0.3">
      <c r="A13" s="9" t="s">
        <v>30</v>
      </c>
      <c r="B13" s="10">
        <v>316</v>
      </c>
      <c r="C13" s="11">
        <v>343.5</v>
      </c>
      <c r="D13" s="16" t="s">
        <v>31</v>
      </c>
      <c r="E13" s="10">
        <v>6</v>
      </c>
      <c r="F13" s="10">
        <v>1</v>
      </c>
      <c r="G13" s="12">
        <v>12.750999999999999</v>
      </c>
      <c r="H13" s="12">
        <v>85.031999999999996</v>
      </c>
      <c r="I13" s="12">
        <v>99.225999999999999</v>
      </c>
      <c r="J13" s="14">
        <v>1.8288</v>
      </c>
      <c r="K13" s="10">
        <v>3030</v>
      </c>
      <c r="L13" s="15">
        <v>0.47</v>
      </c>
      <c r="M13" s="14">
        <v>4.2469000000000001</v>
      </c>
      <c r="N13" s="14">
        <v>4.2469000000000001</v>
      </c>
      <c r="O13" s="12">
        <v>0.32300000000000001</v>
      </c>
      <c r="Q13" s="19" t="s">
        <v>90</v>
      </c>
      <c r="R13" s="19"/>
      <c r="S13" s="18" t="e">
        <f>VLOOKUP(S12,A3:O69,4,FALSE)</f>
        <v>#N/A</v>
      </c>
    </row>
    <row r="14" spans="1:19" ht="11.25" customHeight="1" x14ac:dyDescent="0.3">
      <c r="A14" s="9" t="s">
        <v>32</v>
      </c>
      <c r="B14" s="10">
        <v>360</v>
      </c>
      <c r="C14" s="11">
        <v>433.2</v>
      </c>
      <c r="D14" s="16" t="s">
        <v>33</v>
      </c>
      <c r="E14" s="10">
        <v>6</v>
      </c>
      <c r="F14" s="10">
        <v>1</v>
      </c>
      <c r="G14" s="11">
        <v>14.3</v>
      </c>
      <c r="H14" s="12">
        <v>107.226</v>
      </c>
      <c r="I14" s="12">
        <v>125.09699999999999</v>
      </c>
      <c r="J14" s="13">
        <v>2.4810699999999999</v>
      </c>
      <c r="K14" s="11">
        <v>3819.2</v>
      </c>
      <c r="L14" s="12">
        <v>0.38300000000000001</v>
      </c>
      <c r="M14" s="14">
        <v>4.7701000000000002</v>
      </c>
      <c r="N14" s="14">
        <v>4.7701000000000002</v>
      </c>
      <c r="O14" s="12">
        <v>0.316</v>
      </c>
      <c r="Q14" s="19" t="s">
        <v>91</v>
      </c>
      <c r="R14" s="19"/>
      <c r="S14" s="18" t="e">
        <f>VLOOKUP(S12,A3:O76,1,FALSE)</f>
        <v>#N/A</v>
      </c>
    </row>
    <row r="15" spans="1:19" ht="11.25" customHeight="1" x14ac:dyDescent="0.3">
      <c r="A15" s="9" t="s">
        <v>34</v>
      </c>
      <c r="B15" s="10">
        <v>448</v>
      </c>
      <c r="C15" s="11">
        <v>431.6</v>
      </c>
      <c r="D15" s="11">
        <v>266.8</v>
      </c>
      <c r="E15" s="10">
        <v>18</v>
      </c>
      <c r="F15" s="10">
        <v>1</v>
      </c>
      <c r="G15" s="12">
        <v>15.468999999999999</v>
      </c>
      <c r="H15" s="12">
        <v>135.161</v>
      </c>
      <c r="I15" s="12">
        <v>142.64500000000001</v>
      </c>
      <c r="J15" s="13">
        <v>6.0350400000000004</v>
      </c>
      <c r="K15" s="11">
        <v>3120.7</v>
      </c>
      <c r="L15" s="12">
        <v>0.25800000000000001</v>
      </c>
      <c r="M15" s="14">
        <v>3.0912000000000002</v>
      </c>
      <c r="N15" s="14">
        <v>3.0912000000000002</v>
      </c>
      <c r="O15" s="12">
        <v>0.29599999999999999</v>
      </c>
    </row>
    <row r="16" spans="1:19" ht="11.25" customHeight="1" x14ac:dyDescent="0.3">
      <c r="A16" s="9" t="s">
        <v>35</v>
      </c>
      <c r="B16" s="10">
        <v>457</v>
      </c>
      <c r="C16" s="11">
        <v>546.20000000000005</v>
      </c>
      <c r="D16" s="11">
        <v>266.8</v>
      </c>
      <c r="E16" s="10">
        <v>26</v>
      </c>
      <c r="F16" s="10">
        <v>7</v>
      </c>
      <c r="G16" s="12">
        <v>16.306999999999999</v>
      </c>
      <c r="H16" s="12">
        <v>135.161</v>
      </c>
      <c r="I16" s="12">
        <v>157.161</v>
      </c>
      <c r="J16" s="13">
        <v>6.61416</v>
      </c>
      <c r="K16" s="11">
        <v>5098.3999999999996</v>
      </c>
      <c r="L16" s="12">
        <v>0.25600000000000001</v>
      </c>
      <c r="M16" s="12">
        <v>2.573</v>
      </c>
      <c r="N16" s="14">
        <v>2.0015000000000001</v>
      </c>
      <c r="O16" s="12">
        <v>0.28899999999999998</v>
      </c>
    </row>
    <row r="17" spans="1:15" ht="11.25" customHeight="1" x14ac:dyDescent="0.3">
      <c r="A17" s="9" t="s">
        <v>36</v>
      </c>
      <c r="B17" s="10">
        <v>457</v>
      </c>
      <c r="C17" s="11">
        <v>506.8</v>
      </c>
      <c r="D17" s="11">
        <v>266.8</v>
      </c>
      <c r="E17" s="10">
        <v>6</v>
      </c>
      <c r="F17" s="10">
        <v>7</v>
      </c>
      <c r="G17" s="12">
        <v>16.077999999999999</v>
      </c>
      <c r="H17" s="12">
        <v>135.161</v>
      </c>
      <c r="I17" s="12">
        <v>157.709</v>
      </c>
      <c r="J17" s="14">
        <v>1.9751000000000001</v>
      </c>
      <c r="K17" s="11">
        <v>4329.5</v>
      </c>
      <c r="L17" s="12">
        <v>0.40400000000000003</v>
      </c>
      <c r="M17" s="14">
        <v>5.3569000000000004</v>
      </c>
      <c r="N17" s="14">
        <v>1.7856000000000001</v>
      </c>
      <c r="O17" s="12">
        <v>0.376</v>
      </c>
    </row>
    <row r="18" spans="1:15" ht="11.25" customHeight="1" x14ac:dyDescent="0.3">
      <c r="A18" s="9" t="s">
        <v>37</v>
      </c>
      <c r="B18" s="10">
        <v>502</v>
      </c>
      <c r="C18" s="11">
        <v>691.7</v>
      </c>
      <c r="D18" s="10">
        <v>300</v>
      </c>
      <c r="E18" s="10">
        <v>30</v>
      </c>
      <c r="F18" s="10">
        <v>7</v>
      </c>
      <c r="G18" s="15">
        <v>17.78</v>
      </c>
      <c r="H18" s="10">
        <v>152</v>
      </c>
      <c r="I18" s="12">
        <v>187.483</v>
      </c>
      <c r="J18" s="13">
        <v>7.3456799999999998</v>
      </c>
      <c r="K18" s="11">
        <v>6998.9</v>
      </c>
      <c r="L18" s="12">
        <v>0.23699999999999999</v>
      </c>
      <c r="M18" s="15">
        <v>2.54</v>
      </c>
      <c r="N18" s="15">
        <v>2.54</v>
      </c>
      <c r="O18" s="12">
        <v>0.28100000000000003</v>
      </c>
    </row>
    <row r="19" spans="1:15" ht="11.25" customHeight="1" x14ac:dyDescent="0.3">
      <c r="A19" s="9" t="s">
        <v>38</v>
      </c>
      <c r="B19" s="10">
        <v>492</v>
      </c>
      <c r="C19" s="11">
        <v>612.70000000000005</v>
      </c>
      <c r="D19" s="10">
        <v>300</v>
      </c>
      <c r="E19" s="10">
        <v>26</v>
      </c>
      <c r="F19" s="10">
        <v>7</v>
      </c>
      <c r="G19" s="12">
        <v>17.271999999999998</v>
      </c>
      <c r="H19" s="10">
        <v>152</v>
      </c>
      <c r="I19" s="12">
        <v>176.709</v>
      </c>
      <c r="J19" s="13">
        <v>6.9799199999999999</v>
      </c>
      <c r="K19" s="11">
        <v>5728.8</v>
      </c>
      <c r="L19" s="12">
        <v>0.22700000000000001</v>
      </c>
      <c r="M19" s="12">
        <v>2.7280000000000002</v>
      </c>
      <c r="N19" s="14">
        <v>2.1208999999999998</v>
      </c>
      <c r="O19" s="12">
        <v>0.28499999999999998</v>
      </c>
    </row>
    <row r="20" spans="1:15" ht="11.25" customHeight="1" x14ac:dyDescent="0.3">
      <c r="A20" s="9" t="s">
        <v>39</v>
      </c>
      <c r="B20" s="10">
        <v>518</v>
      </c>
      <c r="C20" s="11">
        <v>543.20000000000005</v>
      </c>
      <c r="D20" s="11">
        <v>336.4</v>
      </c>
      <c r="E20" s="10">
        <v>18</v>
      </c>
      <c r="F20" s="10">
        <v>1</v>
      </c>
      <c r="G20" s="12">
        <v>17.373999999999999</v>
      </c>
      <c r="H20" s="12">
        <v>170.45099999999999</v>
      </c>
      <c r="I20" s="12">
        <v>179.935</v>
      </c>
      <c r="J20" s="14">
        <v>67.665599999999998</v>
      </c>
      <c r="K20" s="11">
        <v>3927.2</v>
      </c>
      <c r="L20" s="12">
        <v>0.20599999999999999</v>
      </c>
      <c r="M20" s="14">
        <v>3.4722</v>
      </c>
      <c r="N20" s="14">
        <v>3.4722</v>
      </c>
      <c r="O20" s="12">
        <v>0.28699999999999998</v>
      </c>
    </row>
    <row r="21" spans="1:15" ht="11.25" customHeight="1" x14ac:dyDescent="0.3">
      <c r="A21" s="9" t="s">
        <v>40</v>
      </c>
      <c r="B21" s="10">
        <v>534</v>
      </c>
      <c r="C21" s="11">
        <v>784.3</v>
      </c>
      <c r="D21" s="11">
        <v>336.4</v>
      </c>
      <c r="E21" s="10">
        <v>30</v>
      </c>
      <c r="F21" s="10">
        <v>7</v>
      </c>
      <c r="G21" s="12">
        <v>18.821000000000002</v>
      </c>
      <c r="H21" s="12">
        <v>170.45099999999999</v>
      </c>
      <c r="I21" s="12">
        <v>210.25800000000001</v>
      </c>
      <c r="J21" s="14">
        <v>7.7724000000000002</v>
      </c>
      <c r="K21" s="11">
        <v>7733.7</v>
      </c>
      <c r="L21" s="12">
        <v>0.20100000000000001</v>
      </c>
      <c r="M21" s="14">
        <v>2.6899000000000002</v>
      </c>
      <c r="N21" s="14">
        <v>2.6899000000000002</v>
      </c>
      <c r="O21" s="12">
        <v>0.27500000000000002</v>
      </c>
    </row>
    <row r="22" spans="1:15" ht="11.25" customHeight="1" x14ac:dyDescent="0.3">
      <c r="A22" s="9" t="s">
        <v>41</v>
      </c>
      <c r="B22" s="10">
        <v>528</v>
      </c>
      <c r="C22" s="10">
        <v>689</v>
      </c>
      <c r="D22" s="11">
        <v>336.4</v>
      </c>
      <c r="E22" s="10">
        <v>26</v>
      </c>
      <c r="F22" s="10">
        <v>7</v>
      </c>
      <c r="G22" s="12">
        <v>18.312999999999999</v>
      </c>
      <c r="H22" s="12">
        <v>170.45099999999999</v>
      </c>
      <c r="I22" s="12">
        <v>198.25800000000001</v>
      </c>
      <c r="J22" s="13">
        <v>7.4066400000000003</v>
      </c>
      <c r="K22" s="11">
        <v>6377.5</v>
      </c>
      <c r="L22" s="12">
        <v>0.20300000000000001</v>
      </c>
      <c r="M22" s="14">
        <v>2.8904999999999998</v>
      </c>
      <c r="N22" s="14">
        <v>2.2479</v>
      </c>
      <c r="O22" s="15">
        <v>0.28000000000000003</v>
      </c>
    </row>
    <row r="23" spans="1:15" ht="11.25" customHeight="1" x14ac:dyDescent="0.3">
      <c r="A23" s="9" t="s">
        <v>42</v>
      </c>
      <c r="B23" s="10">
        <v>593</v>
      </c>
      <c r="C23" s="11">
        <v>927.1</v>
      </c>
      <c r="D23" s="11">
        <v>397.5</v>
      </c>
      <c r="E23" s="10">
        <v>30</v>
      </c>
      <c r="F23" s="10">
        <v>7</v>
      </c>
      <c r="G23" s="12">
        <v>20.472000000000001</v>
      </c>
      <c r="H23" s="12">
        <v>201.41900000000001</v>
      </c>
      <c r="I23" s="12">
        <v>248.387</v>
      </c>
      <c r="J23" s="13">
        <v>6.9189600000000002</v>
      </c>
      <c r="K23" s="11">
        <v>9058.2000000000007</v>
      </c>
      <c r="L23" s="12">
        <v>0.17100000000000001</v>
      </c>
      <c r="M23" s="14">
        <v>2.9235000000000002</v>
      </c>
      <c r="N23" s="14">
        <v>2.9235000000000002</v>
      </c>
      <c r="O23" s="15">
        <v>0.27</v>
      </c>
    </row>
    <row r="24" spans="1:15" ht="11.25" customHeight="1" x14ac:dyDescent="0.3">
      <c r="A24" s="9" t="s">
        <v>43</v>
      </c>
      <c r="B24" s="10">
        <v>586</v>
      </c>
      <c r="C24" s="10">
        <v>814</v>
      </c>
      <c r="D24" s="11">
        <v>397.5</v>
      </c>
      <c r="E24" s="10">
        <v>26</v>
      </c>
      <c r="F24" s="10">
        <v>7</v>
      </c>
      <c r="G24" s="12">
        <v>19.888000000000002</v>
      </c>
      <c r="H24" s="12">
        <v>201.41900000000001</v>
      </c>
      <c r="I24" s="12">
        <v>234.19300000000001</v>
      </c>
      <c r="J24" s="13">
        <v>8.0467200000000005</v>
      </c>
      <c r="K24" s="11">
        <v>7339.1</v>
      </c>
      <c r="L24" s="12">
        <v>0.17199999999999999</v>
      </c>
      <c r="M24" s="14">
        <v>3.1394000000000002</v>
      </c>
      <c r="N24" s="14">
        <v>2.4409000000000001</v>
      </c>
      <c r="O24" s="12">
        <v>0.27400000000000002</v>
      </c>
    </row>
    <row r="25" spans="1:15" ht="11.25" customHeight="1" x14ac:dyDescent="0.3">
      <c r="A25" s="9" t="s">
        <v>44</v>
      </c>
      <c r="B25" s="10">
        <v>644</v>
      </c>
      <c r="C25" s="11">
        <v>770.9</v>
      </c>
      <c r="D25" s="10">
        <v>477</v>
      </c>
      <c r="E25" s="10">
        <v>18</v>
      </c>
      <c r="F25" s="10">
        <v>1</v>
      </c>
      <c r="G25" s="12">
        <v>20.675999999999998</v>
      </c>
      <c r="H25" s="12">
        <v>241.67699999999999</v>
      </c>
      <c r="I25" s="12">
        <v>255.096</v>
      </c>
      <c r="J25" s="13">
        <v>8.0467200000000005</v>
      </c>
      <c r="K25" s="11">
        <v>5352.4</v>
      </c>
      <c r="L25" s="12">
        <v>0.14499999999999999</v>
      </c>
      <c r="M25" s="14">
        <v>4.1351000000000004</v>
      </c>
      <c r="N25" s="14">
        <v>4.1351000000000004</v>
      </c>
      <c r="O25" s="12">
        <v>0.27400000000000002</v>
      </c>
    </row>
    <row r="26" spans="1:15" ht="11.25" customHeight="1" x14ac:dyDescent="0.3">
      <c r="A26" s="9" t="s">
        <v>45</v>
      </c>
      <c r="B26" s="10">
        <v>654</v>
      </c>
      <c r="C26" s="11">
        <v>915.7</v>
      </c>
      <c r="D26" s="10">
        <v>477</v>
      </c>
      <c r="E26" s="10">
        <v>24</v>
      </c>
      <c r="F26" s="10">
        <v>7</v>
      </c>
      <c r="G26" s="12">
        <v>21.488</v>
      </c>
      <c r="H26" s="12">
        <v>241.67699999999999</v>
      </c>
      <c r="I26" s="12">
        <v>273.03199999999998</v>
      </c>
      <c r="J26" s="13">
        <v>8.6563199999999991</v>
      </c>
      <c r="K26" s="11">
        <v>7801.7</v>
      </c>
      <c r="L26" s="12">
        <v>0.14399999999999999</v>
      </c>
      <c r="M26" s="14">
        <v>3.5813999999999999</v>
      </c>
      <c r="N26" s="14">
        <v>2.3875999999999999</v>
      </c>
      <c r="O26" s="12">
        <v>0.26800000000000002</v>
      </c>
    </row>
    <row r="27" spans="1:15" ht="11.25" customHeight="1" x14ac:dyDescent="0.3">
      <c r="A27" s="9" t="s">
        <v>46</v>
      </c>
      <c r="B27" s="10">
        <v>665</v>
      </c>
      <c r="C27" s="11">
        <v>1111.7</v>
      </c>
      <c r="D27" s="10">
        <v>477</v>
      </c>
      <c r="E27" s="10">
        <v>30</v>
      </c>
      <c r="F27" s="10">
        <v>7</v>
      </c>
      <c r="G27" s="12">
        <v>22.428000000000001</v>
      </c>
      <c r="H27" s="12">
        <v>241.67699999999999</v>
      </c>
      <c r="I27" s="12">
        <v>298.06400000000002</v>
      </c>
      <c r="J27" s="13">
        <v>9.2659199999999995</v>
      </c>
      <c r="K27" s="11">
        <v>10591.3</v>
      </c>
      <c r="L27" s="12">
        <v>0.14199999999999999</v>
      </c>
      <c r="M27" s="14">
        <v>3.2029000000000001</v>
      </c>
      <c r="N27" s="14">
        <v>3.2029000000000001</v>
      </c>
      <c r="O27" s="12">
        <v>0.26300000000000001</v>
      </c>
    </row>
    <row r="28" spans="1:15" ht="11.25" customHeight="1" x14ac:dyDescent="0.3">
      <c r="A28" s="9" t="s">
        <v>47</v>
      </c>
      <c r="B28" s="10">
        <v>658</v>
      </c>
      <c r="C28" s="11">
        <v>977.7</v>
      </c>
      <c r="D28" s="10">
        <v>477</v>
      </c>
      <c r="E28" s="10">
        <v>26</v>
      </c>
      <c r="F28" s="10">
        <v>7</v>
      </c>
      <c r="G28" s="12">
        <v>21.792999999999999</v>
      </c>
      <c r="H28" s="12">
        <v>241.67699999999999</v>
      </c>
      <c r="I28" s="12">
        <v>281.096</v>
      </c>
      <c r="J28" s="13">
        <v>8.8087199999999992</v>
      </c>
      <c r="K28" s="11">
        <v>8817.7999999999993</v>
      </c>
      <c r="L28" s="12">
        <v>0.14399999999999999</v>
      </c>
      <c r="M28" s="14">
        <v>3.4417</v>
      </c>
      <c r="N28" s="14">
        <v>2.6772</v>
      </c>
      <c r="O28" s="12">
        <v>0.26700000000000002</v>
      </c>
    </row>
    <row r="29" spans="1:15" ht="11.25" customHeight="1" x14ac:dyDescent="0.3">
      <c r="A29" s="9" t="s">
        <v>48</v>
      </c>
      <c r="B29" s="10">
        <v>683</v>
      </c>
      <c r="C29" s="10">
        <v>1162</v>
      </c>
      <c r="D29" s="10">
        <v>500</v>
      </c>
      <c r="E29" s="10">
        <v>30</v>
      </c>
      <c r="F29" s="10">
        <v>7</v>
      </c>
      <c r="G29" s="12">
        <v>22.962</v>
      </c>
      <c r="H29" s="12">
        <v>253.35400000000001</v>
      </c>
      <c r="I29" s="12">
        <v>312.45100000000002</v>
      </c>
      <c r="J29" s="13">
        <v>9.4792799999999993</v>
      </c>
      <c r="K29" s="11">
        <v>11090.3</v>
      </c>
      <c r="L29" s="12">
        <v>0.13300000000000001</v>
      </c>
      <c r="M29" s="14">
        <v>3.2791000000000001</v>
      </c>
      <c r="N29" s="14">
        <v>3.2791000000000001</v>
      </c>
      <c r="O29" s="12">
        <v>0.26200000000000001</v>
      </c>
    </row>
    <row r="30" spans="1:15" ht="11.25" customHeight="1" x14ac:dyDescent="0.3">
      <c r="A30" s="9" t="s">
        <v>49</v>
      </c>
      <c r="B30" s="10">
        <v>708</v>
      </c>
      <c r="C30" s="11">
        <v>898.9</v>
      </c>
      <c r="D30" s="11">
        <v>556.5</v>
      </c>
      <c r="E30" s="10">
        <v>18</v>
      </c>
      <c r="F30" s="10">
        <v>1</v>
      </c>
      <c r="G30" s="12">
        <v>22.327000000000002</v>
      </c>
      <c r="H30" s="12">
        <v>281.99900000000002</v>
      </c>
      <c r="I30" s="12">
        <v>297.67700000000002</v>
      </c>
      <c r="J30" s="13">
        <v>8.6563199999999991</v>
      </c>
      <c r="K30" s="11">
        <v>6214.2</v>
      </c>
      <c r="L30" s="12">
        <v>0.126</v>
      </c>
      <c r="M30" s="14">
        <v>4.4653</v>
      </c>
      <c r="N30" s="14">
        <v>4.4653</v>
      </c>
      <c r="O30" s="12">
        <v>0.26800000000000002</v>
      </c>
    </row>
    <row r="31" spans="1:15" ht="11.25" customHeight="1" x14ac:dyDescent="0.3">
      <c r="A31" s="9" t="s">
        <v>50</v>
      </c>
      <c r="B31" s="10">
        <v>718</v>
      </c>
      <c r="C31" s="10">
        <v>1067</v>
      </c>
      <c r="D31" s="11">
        <v>556.5</v>
      </c>
      <c r="E31" s="10">
        <v>24</v>
      </c>
      <c r="F31" s="10">
        <v>7</v>
      </c>
      <c r="G31" s="12">
        <v>23.216000000000001</v>
      </c>
      <c r="H31" s="12">
        <v>281.99900000000002</v>
      </c>
      <c r="I31" s="15">
        <v>318.58</v>
      </c>
      <c r="J31" s="13">
        <v>9.3268799999999992</v>
      </c>
      <c r="K31" s="11">
        <v>8981.1</v>
      </c>
      <c r="L31" s="12">
        <v>0.124</v>
      </c>
      <c r="M31" s="14">
        <v>3.8683999999999998</v>
      </c>
      <c r="N31" s="14">
        <v>2.5781000000000001</v>
      </c>
      <c r="O31" s="12">
        <v>0.26300000000000001</v>
      </c>
    </row>
    <row r="32" spans="1:15" ht="11.25" customHeight="1" x14ac:dyDescent="0.3">
      <c r="A32" s="9" t="s">
        <v>51</v>
      </c>
      <c r="B32" s="10">
        <v>722</v>
      </c>
      <c r="C32" s="11">
        <v>1297.7</v>
      </c>
      <c r="D32" s="11">
        <v>556.5</v>
      </c>
      <c r="E32" s="10">
        <v>30</v>
      </c>
      <c r="F32" s="10">
        <v>7</v>
      </c>
      <c r="G32" s="12">
        <v>24.204999999999998</v>
      </c>
      <c r="H32" s="12">
        <v>281.99900000000002</v>
      </c>
      <c r="I32" s="12">
        <v>347.80599999999998</v>
      </c>
      <c r="J32" s="13">
        <v>9.9569600000000005</v>
      </c>
      <c r="K32" s="11">
        <v>12360.3</v>
      </c>
      <c r="L32" s="12">
        <v>0.122</v>
      </c>
      <c r="M32" s="14">
        <v>3.4998999999999998</v>
      </c>
      <c r="N32" s="14">
        <v>3.4998999999999998</v>
      </c>
      <c r="O32" s="15">
        <v>0.57999999999999996</v>
      </c>
    </row>
    <row r="33" spans="1:15" ht="11.25" customHeight="1" x14ac:dyDescent="0.3">
      <c r="A33" s="9" t="s">
        <v>52</v>
      </c>
      <c r="B33" s="10">
        <v>725</v>
      </c>
      <c r="C33" s="11">
        <v>1139.9000000000001</v>
      </c>
      <c r="D33" s="11">
        <v>556.5</v>
      </c>
      <c r="E33" s="10">
        <v>26</v>
      </c>
      <c r="F33" s="10">
        <v>7</v>
      </c>
      <c r="G33" s="12">
        <v>23.545999999999999</v>
      </c>
      <c r="H33" s="12">
        <v>281.99900000000002</v>
      </c>
      <c r="I33" s="12">
        <v>327.935</v>
      </c>
      <c r="J33" s="13">
        <v>9.5707199999999997</v>
      </c>
      <c r="K33" s="11">
        <v>10183.1</v>
      </c>
      <c r="L33" s="12">
        <v>0.123</v>
      </c>
      <c r="M33" s="12">
        <v>3.7160000000000002</v>
      </c>
      <c r="N33" s="14">
        <v>2.8904999999999998</v>
      </c>
      <c r="O33" s="12">
        <v>0.26100000000000001</v>
      </c>
    </row>
    <row r="34" spans="1:15" ht="11.25" customHeight="1" x14ac:dyDescent="0.3">
      <c r="A34" s="9" t="s">
        <v>53</v>
      </c>
      <c r="B34" s="10">
        <v>757</v>
      </c>
      <c r="C34" s="11">
        <v>1160.8</v>
      </c>
      <c r="D34" s="10">
        <v>605</v>
      </c>
      <c r="E34" s="10">
        <v>24</v>
      </c>
      <c r="F34" s="10">
        <v>7</v>
      </c>
      <c r="G34" s="12">
        <v>24.204999999999998</v>
      </c>
      <c r="H34" s="15">
        <v>306.58</v>
      </c>
      <c r="I34" s="12">
        <v>346.322</v>
      </c>
      <c r="J34" s="13">
        <v>9.7231199999999998</v>
      </c>
      <c r="K34" s="11">
        <v>9797.1</v>
      </c>
      <c r="L34" s="12">
        <v>0.114</v>
      </c>
      <c r="M34" s="14">
        <v>4.0335000000000001</v>
      </c>
      <c r="N34" s="14">
        <v>2.8698999999999999</v>
      </c>
      <c r="O34" s="15">
        <v>0.26</v>
      </c>
    </row>
    <row r="35" spans="1:15" ht="11.25" customHeight="1" x14ac:dyDescent="0.3">
      <c r="A35" s="9" t="s">
        <v>54</v>
      </c>
      <c r="B35" s="10">
        <v>754</v>
      </c>
      <c r="C35" s="10">
        <v>1158</v>
      </c>
      <c r="D35" s="10">
        <v>605</v>
      </c>
      <c r="E35" s="10">
        <v>54</v>
      </c>
      <c r="F35" s="10">
        <v>7</v>
      </c>
      <c r="G35" s="12">
        <v>24.206</v>
      </c>
      <c r="H35" s="15">
        <v>306.58</v>
      </c>
      <c r="I35" s="14">
        <v>346.34859999999998</v>
      </c>
      <c r="J35" s="13">
        <v>9.7840799999999994</v>
      </c>
      <c r="K35" s="11">
        <v>10205.799999999999</v>
      </c>
      <c r="L35" s="12">
        <v>0.115</v>
      </c>
      <c r="M35" s="14">
        <v>2.8698999999999999</v>
      </c>
      <c r="N35" s="14">
        <v>2.8698999999999999</v>
      </c>
      <c r="O35" s="12">
        <v>0.25900000000000001</v>
      </c>
    </row>
    <row r="36" spans="1:15" ht="11.25" customHeight="1" x14ac:dyDescent="0.3">
      <c r="A36" s="9" t="s">
        <v>55</v>
      </c>
      <c r="B36" s="10">
        <v>783</v>
      </c>
      <c r="C36" s="11">
        <v>1218.8</v>
      </c>
      <c r="D36" s="10">
        <v>636</v>
      </c>
      <c r="E36" s="10">
        <v>24</v>
      </c>
      <c r="F36" s="10">
        <v>7</v>
      </c>
      <c r="G36" s="12">
        <v>24.815999999999999</v>
      </c>
      <c r="H36" s="12">
        <v>322.52699999999999</v>
      </c>
      <c r="I36" s="12">
        <v>364.06400000000002</v>
      </c>
      <c r="J36" s="13">
        <v>9.9669600000000003</v>
      </c>
      <c r="K36" s="10">
        <v>9979</v>
      </c>
      <c r="L36" s="12">
        <v>0.109</v>
      </c>
      <c r="M36" s="14">
        <v>4.1351000000000004</v>
      </c>
      <c r="N36" s="14">
        <v>2.7559</v>
      </c>
      <c r="O36" s="12">
        <v>0.25800000000000001</v>
      </c>
    </row>
    <row r="37" spans="1:15" ht="11.25" customHeight="1" x14ac:dyDescent="0.3">
      <c r="A37" s="9" t="s">
        <v>56</v>
      </c>
      <c r="B37" s="10">
        <v>797</v>
      </c>
      <c r="C37" s="11">
        <v>1470.3</v>
      </c>
      <c r="D37" s="10">
        <v>636</v>
      </c>
      <c r="E37" s="10">
        <v>30</v>
      </c>
      <c r="F37" s="10">
        <v>19</v>
      </c>
      <c r="G37" s="12">
        <v>25.882999999999999</v>
      </c>
      <c r="H37" s="12">
        <v>322.25700000000001</v>
      </c>
      <c r="I37" s="12">
        <v>395.80599999999998</v>
      </c>
      <c r="J37" s="12">
        <v>10.728999999999999</v>
      </c>
      <c r="K37" s="11">
        <v>14333.4</v>
      </c>
      <c r="L37" s="12">
        <v>9.8000000000000004E-2</v>
      </c>
      <c r="M37" s="14">
        <v>3.6981999999999999</v>
      </c>
      <c r="N37" s="15">
        <v>2.2200000000000002</v>
      </c>
      <c r="O37" s="12">
        <v>0.252</v>
      </c>
    </row>
    <row r="38" spans="1:15" ht="11.25" customHeight="1" x14ac:dyDescent="0.3">
      <c r="A38" s="9" t="s">
        <v>57</v>
      </c>
      <c r="B38" s="10">
        <v>787</v>
      </c>
      <c r="C38" s="11">
        <v>1302.0999999999999</v>
      </c>
      <c r="D38" s="10">
        <v>636</v>
      </c>
      <c r="E38" s="10">
        <v>26</v>
      </c>
      <c r="F38" s="10">
        <v>7</v>
      </c>
      <c r="G38" s="12">
        <v>25.146000000000001</v>
      </c>
      <c r="H38" s="12">
        <v>322.25700000000001</v>
      </c>
      <c r="I38" s="12">
        <v>374.709</v>
      </c>
      <c r="J38" s="14">
        <v>10.210800000000001</v>
      </c>
      <c r="K38" s="11">
        <v>11339.8</v>
      </c>
      <c r="L38" s="12">
        <v>9.9000000000000005E-2</v>
      </c>
      <c r="M38" s="14">
        <v>3.9725999999999999</v>
      </c>
      <c r="N38" s="14">
        <v>3.0886</v>
      </c>
      <c r="O38" s="12">
        <v>0.25600000000000001</v>
      </c>
    </row>
    <row r="39" spans="1:15" ht="11.25" customHeight="1" x14ac:dyDescent="0.3">
      <c r="A39" s="9" t="s">
        <v>58</v>
      </c>
      <c r="B39" s="10">
        <v>777</v>
      </c>
      <c r="C39" s="10">
        <v>1218</v>
      </c>
      <c r="D39" s="10">
        <v>636</v>
      </c>
      <c r="E39" s="10">
        <v>54</v>
      </c>
      <c r="F39" s="10">
        <v>7</v>
      </c>
      <c r="G39" s="12">
        <v>24.815999999999999</v>
      </c>
      <c r="H39" s="12">
        <v>322.25700000000001</v>
      </c>
      <c r="I39" s="12">
        <v>363.99900000000002</v>
      </c>
      <c r="J39" s="14">
        <v>10.027900000000001</v>
      </c>
      <c r="K39" s="11">
        <v>10727.4</v>
      </c>
      <c r="L39" s="12">
        <v>9.7000000000000003E-2</v>
      </c>
      <c r="M39" s="14">
        <v>2.7559</v>
      </c>
      <c r="N39" s="14">
        <v>2.7559</v>
      </c>
      <c r="O39" s="12">
        <v>0.25700000000000001</v>
      </c>
    </row>
    <row r="40" spans="1:15" ht="11.25" customHeight="1" x14ac:dyDescent="0.3">
      <c r="A40" s="9" t="s">
        <v>59</v>
      </c>
      <c r="B40" s="10">
        <v>805</v>
      </c>
      <c r="C40" s="11">
        <v>1276.8</v>
      </c>
      <c r="D40" s="11">
        <v>666.5</v>
      </c>
      <c r="E40" s="10">
        <v>24</v>
      </c>
      <c r="F40" s="10">
        <v>7</v>
      </c>
      <c r="G40" s="11">
        <v>25.4</v>
      </c>
      <c r="H40" s="12">
        <v>337.74099999999999</v>
      </c>
      <c r="I40" s="12">
        <v>381.548</v>
      </c>
      <c r="J40" s="14">
        <v>10.210800000000001</v>
      </c>
      <c r="K40" s="11">
        <v>10750.1</v>
      </c>
      <c r="L40" s="12">
        <v>9.5000000000000001E-2</v>
      </c>
      <c r="M40" s="14">
        <v>4.2342000000000004</v>
      </c>
      <c r="N40" s="14">
        <v>2.8218999999999999</v>
      </c>
      <c r="O40" s="12">
        <v>0.25600000000000001</v>
      </c>
    </row>
    <row r="41" spans="1:15" ht="11.25" customHeight="1" x14ac:dyDescent="0.3">
      <c r="A41" s="9" t="s">
        <v>60</v>
      </c>
      <c r="B41" s="10">
        <v>807</v>
      </c>
      <c r="C41" s="10">
        <v>1276</v>
      </c>
      <c r="D41" s="11">
        <v>666.6</v>
      </c>
      <c r="E41" s="10">
        <v>54</v>
      </c>
      <c r="F41" s="10">
        <v>7</v>
      </c>
      <c r="G41" s="11">
        <v>25.4</v>
      </c>
      <c r="H41" s="12">
        <v>337.74099999999999</v>
      </c>
      <c r="I41" s="12">
        <v>381.548</v>
      </c>
      <c r="J41" s="14">
        <v>10.271800000000001</v>
      </c>
      <c r="K41" s="11">
        <v>11135.6</v>
      </c>
      <c r="L41" s="12">
        <v>9.4E-2</v>
      </c>
      <c r="M41" s="14">
        <v>2.8218999999999999</v>
      </c>
      <c r="N41" s="14">
        <v>2.8218999999999999</v>
      </c>
      <c r="O41" s="12">
        <v>0.25600000000000001</v>
      </c>
    </row>
    <row r="42" spans="1:15" ht="11.25" customHeight="1" x14ac:dyDescent="0.3">
      <c r="A42" s="9" t="s">
        <v>61</v>
      </c>
      <c r="B42" s="10">
        <v>858</v>
      </c>
      <c r="C42" s="11">
        <v>1653.3</v>
      </c>
      <c r="D42" s="11">
        <v>715.5</v>
      </c>
      <c r="E42" s="10">
        <v>30</v>
      </c>
      <c r="F42" s="10">
        <v>19</v>
      </c>
      <c r="G42" s="12">
        <v>27.457000000000001</v>
      </c>
      <c r="H42" s="15">
        <v>362.58</v>
      </c>
      <c r="I42" s="15">
        <v>445.16</v>
      </c>
      <c r="J42" s="12">
        <v>11.369</v>
      </c>
      <c r="K42" s="11">
        <v>15694.2</v>
      </c>
      <c r="L42" s="12">
        <v>8.7999999999999995E-2</v>
      </c>
      <c r="M42" s="14">
        <v>3.9218000000000002</v>
      </c>
      <c r="N42" s="12">
        <v>2.3519999999999999</v>
      </c>
      <c r="O42" s="12">
        <v>0.248</v>
      </c>
    </row>
    <row r="43" spans="1:15" ht="11.25" customHeight="1" x14ac:dyDescent="0.3">
      <c r="A43" s="9" t="s">
        <v>62</v>
      </c>
      <c r="B43" s="10">
        <v>847</v>
      </c>
      <c r="C43" s="11">
        <v>1465.8</v>
      </c>
      <c r="D43" s="11">
        <v>715.5</v>
      </c>
      <c r="E43" s="10">
        <v>26</v>
      </c>
      <c r="F43" s="10">
        <v>7</v>
      </c>
      <c r="G43" s="12">
        <v>26.695</v>
      </c>
      <c r="H43" s="15">
        <v>362.58</v>
      </c>
      <c r="I43" s="12">
        <v>421.61200000000002</v>
      </c>
      <c r="J43" s="14">
        <v>10.820399999999999</v>
      </c>
      <c r="K43" s="11">
        <v>12745.9</v>
      </c>
      <c r="L43" s="12">
        <v>8.7999999999999995E-2</v>
      </c>
      <c r="M43" s="14">
        <v>4.2138999999999998</v>
      </c>
      <c r="N43" s="14">
        <v>3.2766000000000002</v>
      </c>
      <c r="O43" s="12">
        <v>0.252</v>
      </c>
    </row>
    <row r="44" spans="1:15" ht="11.25" customHeight="1" x14ac:dyDescent="0.3">
      <c r="A44" s="9" t="s">
        <v>63</v>
      </c>
      <c r="B44" s="10">
        <v>825</v>
      </c>
      <c r="C44" s="10">
        <v>1370</v>
      </c>
      <c r="D44" s="11">
        <v>715.5</v>
      </c>
      <c r="E44" s="10">
        <v>54</v>
      </c>
      <c r="F44" s="10">
        <v>7</v>
      </c>
      <c r="G44" s="12">
        <v>26.314</v>
      </c>
      <c r="H44" s="15">
        <v>362.58</v>
      </c>
      <c r="I44" s="12">
        <v>409.548</v>
      </c>
      <c r="J44" s="14">
        <v>10.637499999999999</v>
      </c>
      <c r="K44" s="11">
        <v>11952.1</v>
      </c>
      <c r="L44" s="12">
        <v>9.0999999999999998E-2</v>
      </c>
      <c r="M44" s="14">
        <v>2.9235000000000002</v>
      </c>
      <c r="N44" s="14">
        <v>2.9235000000000002</v>
      </c>
      <c r="O44" s="12">
        <v>0.253</v>
      </c>
    </row>
    <row r="45" spans="1:15" ht="11.25" customHeight="1" x14ac:dyDescent="0.3">
      <c r="A45" s="9" t="s">
        <v>64</v>
      </c>
      <c r="B45" s="10">
        <v>875</v>
      </c>
      <c r="C45" s="11">
        <v>1333.4</v>
      </c>
      <c r="D45" s="10">
        <v>795</v>
      </c>
      <c r="E45" s="10">
        <v>45</v>
      </c>
      <c r="F45" s="10">
        <v>7</v>
      </c>
      <c r="G45" s="10">
        <v>27</v>
      </c>
      <c r="H45" s="12">
        <v>402.83800000000002</v>
      </c>
      <c r="I45" s="12">
        <v>430.709</v>
      </c>
      <c r="J45" s="12">
        <v>10.728999999999999</v>
      </c>
      <c r="K45" s="11">
        <v>10024.299999999999</v>
      </c>
      <c r="L45" s="12">
        <v>8.2000000000000003E-2</v>
      </c>
      <c r="M45" s="14">
        <v>2.3757000000000001</v>
      </c>
      <c r="N45" s="14">
        <v>2.2504</v>
      </c>
      <c r="O45" s="12">
        <v>0.252</v>
      </c>
    </row>
    <row r="46" spans="1:15" ht="11.25" customHeight="1" x14ac:dyDescent="0.3">
      <c r="A46" s="9" t="s">
        <v>65</v>
      </c>
      <c r="B46" s="10">
        <v>913</v>
      </c>
      <c r="C46" s="11">
        <v>1837.9</v>
      </c>
      <c r="D46" s="10">
        <v>795</v>
      </c>
      <c r="E46" s="10">
        <v>30</v>
      </c>
      <c r="F46" s="10">
        <v>19</v>
      </c>
      <c r="G46" s="12">
        <v>28.951000000000001</v>
      </c>
      <c r="H46" s="12">
        <v>402.83800000000002</v>
      </c>
      <c r="I46" s="12">
        <v>494.709</v>
      </c>
      <c r="J46" s="14">
        <v>11.9482</v>
      </c>
      <c r="K46" s="11">
        <v>17440.5</v>
      </c>
      <c r="L46" s="15">
        <v>0.08</v>
      </c>
      <c r="M46" s="14">
        <v>4.1351000000000004</v>
      </c>
      <c r="N46" s="14">
        <v>2.4815999999999998</v>
      </c>
      <c r="O46" s="12">
        <v>0.24399999999999999</v>
      </c>
    </row>
    <row r="47" spans="1:15" ht="11.25" customHeight="1" x14ac:dyDescent="0.3">
      <c r="A47" s="9" t="s">
        <v>66</v>
      </c>
      <c r="B47" s="10">
        <v>903</v>
      </c>
      <c r="C47" s="10">
        <v>1628</v>
      </c>
      <c r="D47" s="10">
        <v>795</v>
      </c>
      <c r="E47" s="10">
        <v>26</v>
      </c>
      <c r="F47" s="10">
        <v>7</v>
      </c>
      <c r="G47" s="12">
        <v>28.143000000000001</v>
      </c>
      <c r="H47" s="12">
        <v>402.83800000000002</v>
      </c>
      <c r="I47" s="12">
        <v>468.45100000000002</v>
      </c>
      <c r="J47" s="12">
        <v>11.369</v>
      </c>
      <c r="K47" s="11">
        <v>14174.7</v>
      </c>
      <c r="L47" s="15">
        <v>0.08</v>
      </c>
      <c r="M47" s="14">
        <v>4.4424999999999999</v>
      </c>
      <c r="N47" s="14">
        <v>3.4544000000000001</v>
      </c>
      <c r="O47" s="12">
        <v>0.248</v>
      </c>
    </row>
    <row r="48" spans="1:15" ht="11.25" customHeight="1" x14ac:dyDescent="0.3">
      <c r="A48" s="9" t="s">
        <v>67</v>
      </c>
      <c r="B48" s="10">
        <v>881</v>
      </c>
      <c r="C48" s="11">
        <v>1523.9</v>
      </c>
      <c r="D48" s="10">
        <v>795</v>
      </c>
      <c r="E48" s="10">
        <v>54</v>
      </c>
      <c r="F48" s="10">
        <v>7</v>
      </c>
      <c r="G48" s="12">
        <v>27.762</v>
      </c>
      <c r="H48" s="12">
        <v>402.83800000000002</v>
      </c>
      <c r="I48" s="12">
        <v>455.096</v>
      </c>
      <c r="J48" s="14">
        <v>11.2776</v>
      </c>
      <c r="K48" s="10">
        <v>12950</v>
      </c>
      <c r="L48" s="12">
        <v>8.1000000000000003E-2</v>
      </c>
      <c r="M48" s="14">
        <v>3.0836000000000001</v>
      </c>
      <c r="N48" s="14">
        <v>3.0836000000000001</v>
      </c>
      <c r="O48" s="12">
        <v>0.249</v>
      </c>
    </row>
    <row r="49" spans="1:15" ht="11.25" customHeight="1" x14ac:dyDescent="0.3">
      <c r="A49" s="9" t="s">
        <v>68</v>
      </c>
      <c r="B49" s="10">
        <v>935</v>
      </c>
      <c r="C49" s="10">
        <v>1674</v>
      </c>
      <c r="D49" s="11">
        <v>874.5</v>
      </c>
      <c r="E49" s="10">
        <v>54</v>
      </c>
      <c r="F49" s="10">
        <v>7</v>
      </c>
      <c r="G49" s="12">
        <v>29.108000000000001</v>
      </c>
      <c r="H49" s="12">
        <v>443.096</v>
      </c>
      <c r="I49" s="15">
        <v>500.58</v>
      </c>
      <c r="J49" s="14">
        <v>11.7653</v>
      </c>
      <c r="K49" s="11">
        <v>14242.7</v>
      </c>
      <c r="L49" s="12">
        <v>7.4999999999999997E-2</v>
      </c>
      <c r="M49" s="14">
        <v>3.2334000000000001</v>
      </c>
      <c r="N49" s="14">
        <v>3.2334000000000001</v>
      </c>
      <c r="O49" s="12">
        <v>0.245</v>
      </c>
    </row>
    <row r="50" spans="1:15" ht="11.25" customHeight="1" x14ac:dyDescent="0.3">
      <c r="A50" s="9" t="s">
        <v>69</v>
      </c>
      <c r="B50" s="10">
        <v>926</v>
      </c>
      <c r="C50" s="11">
        <v>1724.8</v>
      </c>
      <c r="D50" s="10">
        <v>900</v>
      </c>
      <c r="E50" s="10">
        <v>54</v>
      </c>
      <c r="F50" s="10">
        <v>7</v>
      </c>
      <c r="G50" s="12">
        <v>29.515000000000001</v>
      </c>
      <c r="H50" s="12">
        <v>456.06400000000002</v>
      </c>
      <c r="I50" s="15">
        <v>515.16</v>
      </c>
      <c r="J50" s="14">
        <v>11.9482</v>
      </c>
      <c r="K50" s="10">
        <v>14551</v>
      </c>
      <c r="L50" s="12">
        <v>7.2999999999999995E-2</v>
      </c>
      <c r="M50" s="14">
        <v>3.2791000000000001</v>
      </c>
      <c r="N50" s="14">
        <v>3.2791000000000001</v>
      </c>
      <c r="O50" s="12">
        <v>0.24399999999999999</v>
      </c>
    </row>
    <row r="51" spans="1:15" ht="11.25" customHeight="1" x14ac:dyDescent="0.3">
      <c r="A51" s="9" t="s">
        <v>70</v>
      </c>
      <c r="B51" s="10">
        <v>953</v>
      </c>
      <c r="C51" s="11">
        <v>1599.8</v>
      </c>
      <c r="D51" s="10">
        <v>954</v>
      </c>
      <c r="E51" s="10">
        <v>45</v>
      </c>
      <c r="F51" s="10">
        <v>7</v>
      </c>
      <c r="G51" s="12">
        <v>29.591000000000001</v>
      </c>
      <c r="H51" s="12">
        <v>483.41800000000001</v>
      </c>
      <c r="I51" s="12">
        <v>516.83799999999997</v>
      </c>
      <c r="J51" s="14">
        <v>11.7653</v>
      </c>
      <c r="K51" s="10">
        <v>11748</v>
      </c>
      <c r="L51" s="12">
        <v>6.9000000000000006E-2</v>
      </c>
      <c r="M51" s="14">
        <v>3.6981999999999999</v>
      </c>
      <c r="N51" s="14">
        <v>2.4662999999999999</v>
      </c>
      <c r="O51" s="15">
        <v>0.45</v>
      </c>
    </row>
    <row r="52" spans="1:15" ht="11.25" customHeight="1" x14ac:dyDescent="0.3">
      <c r="A52" s="9" t="s">
        <v>71</v>
      </c>
      <c r="B52" s="10">
        <v>960</v>
      </c>
      <c r="C52" s="11">
        <v>1828.9</v>
      </c>
      <c r="D52" s="10">
        <v>954</v>
      </c>
      <c r="E52" s="10">
        <v>54</v>
      </c>
      <c r="F52" s="10">
        <v>7</v>
      </c>
      <c r="G52" s="12">
        <v>29.378</v>
      </c>
      <c r="H52" s="9">
        <v>483.54700000000003</v>
      </c>
      <c r="I52" s="12">
        <v>546.06299999999999</v>
      </c>
      <c r="J52" s="12">
        <v>12.253</v>
      </c>
      <c r="K52" s="11">
        <v>15535.5</v>
      </c>
      <c r="L52" s="12">
        <v>6.0999999999999999E-2</v>
      </c>
      <c r="M52" s="14">
        <v>3.3757000000000001</v>
      </c>
      <c r="N52" s="14">
        <v>3.3757000000000001</v>
      </c>
      <c r="O52" s="12">
        <v>0.24199999999999999</v>
      </c>
    </row>
    <row r="53" spans="1:15" ht="11.25" customHeight="1" x14ac:dyDescent="0.3">
      <c r="A53" s="9" t="s">
        <v>72</v>
      </c>
      <c r="B53" s="10">
        <v>1006</v>
      </c>
      <c r="C53" s="11">
        <v>1733.7</v>
      </c>
      <c r="D53" s="11">
        <v>1033.5</v>
      </c>
      <c r="E53" s="10">
        <v>45</v>
      </c>
      <c r="F53" s="10">
        <v>7</v>
      </c>
      <c r="G53" s="15">
        <v>30.81</v>
      </c>
      <c r="H53" s="12">
        <v>523.67600000000004</v>
      </c>
      <c r="I53" s="15">
        <v>559.87</v>
      </c>
      <c r="J53" s="14">
        <v>12.5296</v>
      </c>
      <c r="K53" s="11">
        <v>12564.4</v>
      </c>
      <c r="L53" s="12">
        <v>5.7000000000000002E-2</v>
      </c>
      <c r="M53" s="14">
        <v>3.8481000000000001</v>
      </c>
      <c r="N53" s="14">
        <v>2.5653999999999999</v>
      </c>
      <c r="O53" s="12">
        <v>0.24199999999999999</v>
      </c>
    </row>
    <row r="54" spans="1:15" ht="11.25" customHeight="1" x14ac:dyDescent="0.3">
      <c r="A54" s="9" t="s">
        <v>73</v>
      </c>
      <c r="B54" s="10">
        <v>1010</v>
      </c>
      <c r="C54" s="11">
        <v>1980.7</v>
      </c>
      <c r="D54" s="11">
        <v>1033.5</v>
      </c>
      <c r="E54" s="10">
        <v>54</v>
      </c>
      <c r="F54" s="10">
        <v>7</v>
      </c>
      <c r="G54" s="12">
        <v>31.648</v>
      </c>
      <c r="H54" s="12">
        <v>523.67600000000004</v>
      </c>
      <c r="I54" s="12">
        <v>591.61199999999997</v>
      </c>
      <c r="J54" s="14">
        <v>12.801600000000001</v>
      </c>
      <c r="K54" s="11">
        <v>16850.900000000001</v>
      </c>
      <c r="L54" s="12">
        <v>5.7000000000000002E-2</v>
      </c>
      <c r="M54" s="14">
        <v>3.5154000000000001</v>
      </c>
      <c r="N54" s="14">
        <v>3.5154000000000001</v>
      </c>
      <c r="O54" s="12">
        <v>0.23899999999999999</v>
      </c>
    </row>
    <row r="55" spans="1:15" ht="11.25" customHeight="1" x14ac:dyDescent="0.3">
      <c r="A55" s="9" t="s">
        <v>74</v>
      </c>
      <c r="B55" s="10">
        <v>1051</v>
      </c>
      <c r="C55" s="11">
        <v>1867.6</v>
      </c>
      <c r="D55" s="10">
        <v>1113</v>
      </c>
      <c r="E55" s="10">
        <v>45</v>
      </c>
      <c r="F55" s="10">
        <v>7</v>
      </c>
      <c r="G55" s="12">
        <v>31.978999999999999</v>
      </c>
      <c r="H55" s="12">
        <v>563.93399999999997</v>
      </c>
      <c r="I55" s="12">
        <v>602.96699999999998</v>
      </c>
      <c r="J55" s="14">
        <v>12.6492</v>
      </c>
      <c r="K55" s="10">
        <v>13517</v>
      </c>
      <c r="L55" s="12">
        <v>5.2999999999999999E-2</v>
      </c>
      <c r="M55" s="14">
        <v>3.9954000000000001</v>
      </c>
      <c r="N55" s="14">
        <v>2.6644999999999999</v>
      </c>
      <c r="O55" s="15">
        <v>0.24</v>
      </c>
    </row>
    <row r="56" spans="1:15" ht="11.25" customHeight="1" x14ac:dyDescent="0.3">
      <c r="A56" s="9" t="s">
        <v>75</v>
      </c>
      <c r="B56" s="10">
        <v>1060</v>
      </c>
      <c r="C56" s="11">
        <v>2129.6</v>
      </c>
      <c r="D56" s="10">
        <v>1113</v>
      </c>
      <c r="E56" s="10">
        <v>54</v>
      </c>
      <c r="F56" s="10">
        <v>19</v>
      </c>
      <c r="G56" s="12">
        <v>33.841999999999999</v>
      </c>
      <c r="H56" s="12">
        <v>563.93399999999997</v>
      </c>
      <c r="I56" s="12">
        <v>635.48299999999995</v>
      </c>
      <c r="J56" s="14">
        <v>13.289300000000001</v>
      </c>
      <c r="K56" s="11">
        <v>13234.3</v>
      </c>
      <c r="L56" s="12">
        <v>5.2999999999999999E-2</v>
      </c>
      <c r="M56" s="14">
        <v>3.6474000000000002</v>
      </c>
      <c r="N56" s="14">
        <v>2.1875</v>
      </c>
      <c r="O56" s="12">
        <v>0.23599999999999999</v>
      </c>
    </row>
    <row r="57" spans="1:15" ht="11.25" customHeight="1" x14ac:dyDescent="0.3">
      <c r="A57" s="9" t="s">
        <v>76</v>
      </c>
      <c r="B57" s="10">
        <v>1099</v>
      </c>
      <c r="C57" s="11">
        <v>2000.1</v>
      </c>
      <c r="D57" s="11">
        <v>1192.5</v>
      </c>
      <c r="E57" s="10">
        <v>45</v>
      </c>
      <c r="F57" s="10">
        <v>7</v>
      </c>
      <c r="G57" s="15">
        <v>33.07</v>
      </c>
      <c r="H57" s="12">
        <v>604.25699999999995</v>
      </c>
      <c r="I57" s="12">
        <v>645.80499999999995</v>
      </c>
      <c r="J57" s="14">
        <v>13.075900000000001</v>
      </c>
      <c r="K57" s="11">
        <v>14514.9</v>
      </c>
      <c r="L57" s="15">
        <v>0.05</v>
      </c>
      <c r="M57" s="14">
        <v>4.1351000000000004</v>
      </c>
      <c r="N57" s="14">
        <v>2.7559</v>
      </c>
      <c r="O57" s="12">
        <v>0.23699999999999999</v>
      </c>
    </row>
    <row r="58" spans="1:15" ht="11.25" customHeight="1" x14ac:dyDescent="0.3">
      <c r="A58" s="9" t="s">
        <v>77</v>
      </c>
      <c r="B58" s="10">
        <v>1108</v>
      </c>
      <c r="C58" s="11">
        <v>2281.3000000000002</v>
      </c>
      <c r="D58" s="11">
        <v>1192.5</v>
      </c>
      <c r="E58" s="10">
        <v>54</v>
      </c>
      <c r="F58" s="10">
        <v>19</v>
      </c>
      <c r="G58" s="12">
        <v>33.984999999999999</v>
      </c>
      <c r="H58" s="12">
        <v>604.25699999999995</v>
      </c>
      <c r="I58" s="12">
        <v>680.83699999999999</v>
      </c>
      <c r="J58" s="14">
        <v>13.746499999999999</v>
      </c>
      <c r="K58" s="11">
        <v>19549.7</v>
      </c>
      <c r="L58" s="15">
        <v>0.05</v>
      </c>
      <c r="M58" s="14">
        <v>3.7744</v>
      </c>
      <c r="N58" s="14">
        <v>2.2656999999999998</v>
      </c>
      <c r="O58" s="12">
        <v>0.23400000000000001</v>
      </c>
    </row>
    <row r="59" spans="1:15" ht="11.25" customHeight="1" x14ac:dyDescent="0.3">
      <c r="A59" s="9" t="s">
        <v>78</v>
      </c>
      <c r="B59" s="10">
        <v>1145</v>
      </c>
      <c r="C59" s="10">
        <v>2034</v>
      </c>
      <c r="D59" s="10">
        <v>1272</v>
      </c>
      <c r="E59" s="10">
        <v>45</v>
      </c>
      <c r="F59" s="10">
        <v>7</v>
      </c>
      <c r="G59" s="12">
        <v>34.162999999999997</v>
      </c>
      <c r="H59" s="12">
        <v>644.51499999999999</v>
      </c>
      <c r="I59" s="12">
        <v>689.03099999999995</v>
      </c>
      <c r="J59" s="14">
        <v>13.533099999999999</v>
      </c>
      <c r="K59" s="11">
        <v>15467.4</v>
      </c>
      <c r="L59" s="12">
        <v>4.7E-2</v>
      </c>
      <c r="M59" s="14">
        <v>4.2697000000000003</v>
      </c>
      <c r="N59" s="14">
        <v>2.8245</v>
      </c>
      <c r="O59" s="12">
        <v>0.23499999999999999</v>
      </c>
    </row>
    <row r="60" spans="1:15" ht="11.25" customHeight="1" x14ac:dyDescent="0.3">
      <c r="A60" s="9" t="s">
        <v>79</v>
      </c>
      <c r="B60" s="10">
        <v>1148</v>
      </c>
      <c r="C60" s="11">
        <v>2433.1</v>
      </c>
      <c r="D60" s="10">
        <v>1272</v>
      </c>
      <c r="E60" s="10">
        <v>54</v>
      </c>
      <c r="F60" s="10">
        <v>19</v>
      </c>
      <c r="G60" s="12">
        <v>35.103000000000002</v>
      </c>
      <c r="H60" s="12">
        <v>644.51499999999999</v>
      </c>
      <c r="I60" s="12">
        <v>726.19200000000001</v>
      </c>
      <c r="J60" s="14">
        <v>14.2037</v>
      </c>
      <c r="K60" s="11">
        <v>20320.8</v>
      </c>
      <c r="L60" s="12">
        <v>4.7E-2</v>
      </c>
      <c r="M60" s="14">
        <v>3.8988999999999998</v>
      </c>
      <c r="N60" s="14">
        <v>2.3393000000000002</v>
      </c>
      <c r="O60" s="12">
        <v>0.23100000000000001</v>
      </c>
    </row>
    <row r="61" spans="1:15" ht="11.25" customHeight="1" x14ac:dyDescent="0.3">
      <c r="A61" s="9" t="s">
        <v>80</v>
      </c>
      <c r="B61" s="10">
        <v>1188</v>
      </c>
      <c r="C61" s="11">
        <v>2266.5</v>
      </c>
      <c r="D61" s="11">
        <v>1351.5</v>
      </c>
      <c r="E61" s="10">
        <v>45</v>
      </c>
      <c r="F61" s="10">
        <v>7</v>
      </c>
      <c r="G61" s="12">
        <v>35.704000000000001</v>
      </c>
      <c r="H61" s="12">
        <v>684.83699999999999</v>
      </c>
      <c r="I61" s="12">
        <v>731.93399999999997</v>
      </c>
      <c r="J61" s="14">
        <v>13.9903</v>
      </c>
      <c r="K61" s="10">
        <v>16420</v>
      </c>
      <c r="L61" s="12">
        <v>4.4999999999999998E-2</v>
      </c>
      <c r="M61" s="14">
        <v>4.4017999999999997</v>
      </c>
      <c r="N61" s="14">
        <v>2.9337</v>
      </c>
      <c r="O61" s="12">
        <v>0.23200000000000001</v>
      </c>
    </row>
    <row r="62" spans="1:15" ht="11.25" customHeight="1" x14ac:dyDescent="0.3">
      <c r="A62" s="9" t="s">
        <v>81</v>
      </c>
      <c r="B62" s="10">
        <v>1198</v>
      </c>
      <c r="C62" s="11">
        <v>2584.9</v>
      </c>
      <c r="D62" s="11">
        <v>1351.5</v>
      </c>
      <c r="E62" s="10">
        <v>54</v>
      </c>
      <c r="F62" s="10">
        <v>19</v>
      </c>
      <c r="G62" s="15">
        <v>36.17</v>
      </c>
      <c r="H62" s="12">
        <v>684.83699999999999</v>
      </c>
      <c r="I62" s="12">
        <v>771.54700000000003</v>
      </c>
      <c r="J62" s="14">
        <v>14.6914</v>
      </c>
      <c r="K62" s="11">
        <v>21590.9</v>
      </c>
      <c r="L62" s="12">
        <v>4.3999999999999997E-2</v>
      </c>
      <c r="M62" s="14">
        <v>4.0183</v>
      </c>
      <c r="N62" s="14">
        <v>2.4104999999999999</v>
      </c>
      <c r="O62" s="12">
        <v>0.22900000000000001</v>
      </c>
    </row>
    <row r="63" spans="1:15" ht="11.25" customHeight="1" x14ac:dyDescent="0.3">
      <c r="A63" s="9" t="s">
        <v>82</v>
      </c>
      <c r="B63" s="10">
        <v>1227</v>
      </c>
      <c r="C63" s="11">
        <v>2427.1999999999998</v>
      </c>
      <c r="D63" s="10">
        <v>1431</v>
      </c>
      <c r="E63" s="10">
        <v>45</v>
      </c>
      <c r="F63" s="10">
        <v>7</v>
      </c>
      <c r="G63" s="12">
        <v>36.246000000000002</v>
      </c>
      <c r="H63" s="12">
        <v>725.09500000000003</v>
      </c>
      <c r="I63" s="12">
        <v>775.41800000000001</v>
      </c>
      <c r="J63" s="14">
        <v>14.3256</v>
      </c>
      <c r="K63" s="11">
        <v>17372.5</v>
      </c>
      <c r="L63" s="12">
        <v>4.2000000000000003E-2</v>
      </c>
      <c r="M63" s="14">
        <v>4.5288000000000004</v>
      </c>
      <c r="N63" s="14">
        <v>3.0200999999999998</v>
      </c>
      <c r="O63" s="12">
        <v>0.23100000000000001</v>
      </c>
    </row>
    <row r="64" spans="1:15" ht="11.25" customHeight="1" x14ac:dyDescent="0.3">
      <c r="A64" s="9" t="s">
        <v>83</v>
      </c>
      <c r="B64" s="10">
        <v>1237</v>
      </c>
      <c r="C64" s="11">
        <v>2738.2</v>
      </c>
      <c r="D64" s="10">
        <v>1431</v>
      </c>
      <c r="E64" s="10">
        <v>54</v>
      </c>
      <c r="F64" s="10">
        <v>19</v>
      </c>
      <c r="G64" s="12">
        <v>37.210999999999999</v>
      </c>
      <c r="H64" s="12">
        <v>725.09500000000003</v>
      </c>
      <c r="I64" s="12">
        <v>816.96600000000001</v>
      </c>
      <c r="J64" s="14">
        <v>15.0571</v>
      </c>
      <c r="K64" s="11">
        <v>22860.9</v>
      </c>
      <c r="L64" s="12">
        <v>4.2000000000000003E-2</v>
      </c>
      <c r="M64" s="14">
        <v>4.1351000000000004</v>
      </c>
      <c r="N64" s="14">
        <v>2.4815999999999998</v>
      </c>
      <c r="O64" s="12">
        <v>0.22700000000000001</v>
      </c>
    </row>
    <row r="65" spans="1:15" ht="11.25" customHeight="1" x14ac:dyDescent="0.3">
      <c r="A65" s="9" t="s">
        <v>84</v>
      </c>
      <c r="B65" s="10">
        <v>1268</v>
      </c>
      <c r="C65" s="11">
        <v>2532.8000000000002</v>
      </c>
      <c r="D65" s="11">
        <v>1510.5</v>
      </c>
      <c r="E65" s="10">
        <v>45</v>
      </c>
      <c r="F65" s="10">
        <v>7</v>
      </c>
      <c r="G65" s="12">
        <v>37.265999999999998</v>
      </c>
      <c r="H65" s="12">
        <v>765.35299999999995</v>
      </c>
      <c r="I65" s="12">
        <v>818.25599999999997</v>
      </c>
      <c r="J65" s="14">
        <v>14.8133</v>
      </c>
      <c r="K65" s="10">
        <v>18189</v>
      </c>
      <c r="L65" s="15">
        <v>0.04</v>
      </c>
      <c r="M65" s="14">
        <v>4.6532999999999998</v>
      </c>
      <c r="N65" s="14">
        <v>3.1013000000000002</v>
      </c>
      <c r="O65" s="12">
        <v>0.22800000000000001</v>
      </c>
    </row>
    <row r="66" spans="1:15" ht="11.25" customHeight="1" x14ac:dyDescent="0.3">
      <c r="A66" s="9" t="s">
        <v>85</v>
      </c>
      <c r="B66" s="10">
        <v>1278</v>
      </c>
      <c r="C66" s="10">
        <v>2890</v>
      </c>
      <c r="D66" s="11">
        <v>1510.5</v>
      </c>
      <c r="E66" s="10">
        <v>54</v>
      </c>
      <c r="F66" s="10">
        <v>19</v>
      </c>
      <c r="G66" s="12">
        <v>38.752000000000002</v>
      </c>
      <c r="H66" s="12">
        <v>765.35299999999995</v>
      </c>
      <c r="I66" s="12">
        <v>862.38499999999999</v>
      </c>
      <c r="J66" s="14">
        <v>15.4229</v>
      </c>
      <c r="K66" s="11">
        <v>24176.3</v>
      </c>
      <c r="L66" s="15">
        <v>0.04</v>
      </c>
      <c r="M66" s="14">
        <v>4.2493999999999996</v>
      </c>
      <c r="N66" s="14">
        <v>2.5501999999999998</v>
      </c>
      <c r="O66" s="12">
        <v>0.22500000000000001</v>
      </c>
    </row>
    <row r="67" spans="1:15" ht="11.25" customHeight="1" x14ac:dyDescent="0.3">
      <c r="A67" s="9" t="s">
        <v>86</v>
      </c>
      <c r="B67" s="10">
        <v>1310</v>
      </c>
      <c r="C67" s="11">
        <v>2666.8</v>
      </c>
      <c r="D67" s="10">
        <v>1590</v>
      </c>
      <c r="E67" s="10">
        <v>45</v>
      </c>
      <c r="F67" s="10">
        <v>7</v>
      </c>
      <c r="G67" s="12">
        <v>38.151000000000003</v>
      </c>
      <c r="H67" s="12">
        <v>805.67600000000004</v>
      </c>
      <c r="I67" s="15">
        <v>891.16</v>
      </c>
      <c r="J67" s="12">
        <v>15.179</v>
      </c>
      <c r="K67" s="11">
        <v>19141.5</v>
      </c>
      <c r="L67" s="12">
        <v>3.7999999999999999E-2</v>
      </c>
      <c r="M67" s="14">
        <v>4.7751999999999999</v>
      </c>
      <c r="N67" s="14">
        <v>3.1825999999999999</v>
      </c>
      <c r="O67" s="12">
        <v>0.22600000000000001</v>
      </c>
    </row>
    <row r="68" spans="1:15" ht="11.25" customHeight="1" x14ac:dyDescent="0.3">
      <c r="A68" s="9" t="s">
        <v>87</v>
      </c>
      <c r="B68" s="10">
        <v>1313</v>
      </c>
      <c r="C68" s="11">
        <v>3041.8</v>
      </c>
      <c r="D68" s="10">
        <v>1590</v>
      </c>
      <c r="E68" s="10">
        <v>54</v>
      </c>
      <c r="F68" s="10">
        <v>19</v>
      </c>
      <c r="G68" s="12">
        <v>38.243000000000002</v>
      </c>
      <c r="H68" s="12">
        <v>805.67600000000004</v>
      </c>
      <c r="I68" s="12">
        <v>907.80499999999995</v>
      </c>
      <c r="J68" s="12">
        <v>15.941000000000001</v>
      </c>
      <c r="K68" s="11">
        <v>25446.400000000001</v>
      </c>
      <c r="L68" s="12">
        <v>3.7999999999999999E-2</v>
      </c>
      <c r="M68" s="14">
        <v>4.3586</v>
      </c>
      <c r="N68" s="14">
        <v>2.6162000000000001</v>
      </c>
      <c r="O68" s="12">
        <v>0.222</v>
      </c>
    </row>
    <row r="69" spans="1:15" ht="11.25" customHeight="1" x14ac:dyDescent="0.3">
      <c r="A69" s="9" t="s">
        <v>88</v>
      </c>
      <c r="B69" s="10">
        <v>1434</v>
      </c>
      <c r="C69" s="11">
        <v>3086.5</v>
      </c>
      <c r="D69" s="10">
        <v>1780</v>
      </c>
      <c r="E69" s="10">
        <v>84</v>
      </c>
      <c r="F69" s="10">
        <v>19</v>
      </c>
      <c r="G69" s="12">
        <v>40.691000000000003</v>
      </c>
      <c r="H69" s="12">
        <v>901.93399999999997</v>
      </c>
      <c r="I69" s="12">
        <v>975.48199999999997</v>
      </c>
      <c r="J69" s="14">
        <v>16.337299999999999</v>
      </c>
      <c r="K69" s="11">
        <v>23133.1</v>
      </c>
      <c r="L69" s="12">
        <v>3.5000000000000003E-2</v>
      </c>
      <c r="M69" s="14">
        <v>3.6981999999999999</v>
      </c>
      <c r="N69" s="15">
        <v>2.2200000000000002</v>
      </c>
      <c r="O69" s="12">
        <v>0.221</v>
      </c>
    </row>
  </sheetData>
  <mergeCells count="19">
    <mergeCell ref="Q5:R5"/>
    <mergeCell ref="Q3:S4"/>
    <mergeCell ref="Q10:S11"/>
    <mergeCell ref="Q12:R12"/>
    <mergeCell ref="Q13:R13"/>
    <mergeCell ref="Q6:R6"/>
    <mergeCell ref="Q7:R7"/>
    <mergeCell ref="Q14:R14"/>
    <mergeCell ref="G1:G2"/>
    <mergeCell ref="H1:I1"/>
    <mergeCell ref="K1:K2"/>
    <mergeCell ref="L1:L2"/>
    <mergeCell ref="M1:N1"/>
    <mergeCell ref="N2:O2"/>
    <mergeCell ref="A1:A2"/>
    <mergeCell ref="B1:B2"/>
    <mergeCell ref="C1:C2"/>
    <mergeCell ref="D1:D2"/>
    <mergeCell ref="E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2EC07D-B939-4F9E-9480-351A6D7BAFDC}">
  <dimension ref="A1"/>
  <sheetViews>
    <sheetView workbookViewId="0">
      <selection activeCell="E16" sqref="E16"/>
    </sheetView>
  </sheetViews>
  <sheetFormatPr baseColWidth="10" defaultRowHeight="13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cables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DOCUMENTO DE CALCULOS ELECTRICOS Y MECANICOS.xls</dc:title>
  <dc:creator>micha</dc:creator>
  <cp:lastModifiedBy>JHOHAN FELIPE MANOSALVA SIERRA</cp:lastModifiedBy>
  <dcterms:created xsi:type="dcterms:W3CDTF">2023-10-31T23:20:27Z</dcterms:created>
  <dcterms:modified xsi:type="dcterms:W3CDTF">2023-10-31T23:56:02Z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2023-08-08T00:00:00Z</vt:filetime>
  </property>
  <property fmtid="{D5CDD505-2E9C-101B-9397-08002B2CF9AE}" pid="3" name="LastSaved">
    <vt:filetime>2023-10-31T00:00:00Z</vt:filetime>
  </property>
  <property fmtid="{D5CDD505-2E9C-101B-9397-08002B2CF9AE}" pid="4" name="Producer">
    <vt:lpwstr>Microsoft: Print To PDF</vt:lpwstr>
  </property>
</Properties>
</file>